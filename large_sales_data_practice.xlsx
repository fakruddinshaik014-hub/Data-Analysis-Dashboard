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D:\.FULL STACK\DATA Analsyt\EXCEL\"/>
    </mc:Choice>
  </mc:AlternateContent>
  <xr:revisionPtr revIDLastSave="0" documentId="13_ncr:1_{51F41492-3735-496E-8D8B-83ABACED57BA}" xr6:coauthVersionLast="36" xr6:coauthVersionMax="36" xr10:uidLastSave="{00000000-0000-0000-0000-000000000000}"/>
  <bookViews>
    <workbookView xWindow="0" yWindow="0" windowWidth="19200" windowHeight="6230" activeTab="1" xr2:uid="{00000000-000D-0000-FFFF-FFFF00000000}"/>
  </bookViews>
  <sheets>
    <sheet name="MOBILE DATA" sheetId="2" r:id="rId1"/>
    <sheet name="Dashboard" sheetId="7" r:id="rId2"/>
    <sheet name="Sheet2" sheetId="6" r:id="rId3"/>
  </sheets>
  <definedNames>
    <definedName name="Slicer_Product">#N/A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H75" i="2" l="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alcChain>
</file>

<file path=xl/sharedStrings.xml><?xml version="1.0" encoding="utf-8"?>
<sst xmlns="http://schemas.openxmlformats.org/spreadsheetml/2006/main" count="2560" uniqueCount="57">
  <si>
    <t>Order_ID</t>
  </si>
  <si>
    <t>Order_Date</t>
  </si>
  <si>
    <t>Customer_Name</t>
  </si>
  <si>
    <t>Product</t>
  </si>
  <si>
    <t>Category</t>
  </si>
  <si>
    <t>Quantity</t>
  </si>
  <si>
    <t>Price</t>
  </si>
  <si>
    <t>Payment_Mode</t>
  </si>
  <si>
    <t>City</t>
  </si>
  <si>
    <t>Total_Sales</t>
  </si>
  <si>
    <t>Month</t>
  </si>
  <si>
    <t>Year</t>
  </si>
  <si>
    <t>Arun</t>
  </si>
  <si>
    <t>Swathi</t>
  </si>
  <si>
    <t>Ramesh</t>
  </si>
  <si>
    <t>Rahul</t>
  </si>
  <si>
    <t>Divya</t>
  </si>
  <si>
    <t>Manoj</t>
  </si>
  <si>
    <t>Priya</t>
  </si>
  <si>
    <t>Suresh</t>
  </si>
  <si>
    <t>Anita</t>
  </si>
  <si>
    <t>Sneha</t>
  </si>
  <si>
    <t>Meena</t>
  </si>
  <si>
    <t>Ravi</t>
  </si>
  <si>
    <t>Nitin</t>
  </si>
  <si>
    <t>Pooja</t>
  </si>
  <si>
    <t>Kavya</t>
  </si>
  <si>
    <t>Karthik</t>
  </si>
  <si>
    <t>Vikram</t>
  </si>
  <si>
    <t>Asha</t>
  </si>
  <si>
    <t>Neha</t>
  </si>
  <si>
    <t>Amit</t>
  </si>
  <si>
    <t>Mobile</t>
  </si>
  <si>
    <t>Keyboard</t>
  </si>
  <si>
    <t>Headphones</t>
  </si>
  <si>
    <t>Smartwatch</t>
  </si>
  <si>
    <t>Tablet</t>
  </si>
  <si>
    <t>Mouse</t>
  </si>
  <si>
    <t>Laptop</t>
  </si>
  <si>
    <t>Electronics Remember</t>
  </si>
  <si>
    <t>Accessories</t>
  </si>
  <si>
    <t>Card</t>
  </si>
  <si>
    <t>UPI</t>
  </si>
  <si>
    <t>Cash</t>
  </si>
  <si>
    <t>NetBanking</t>
  </si>
  <si>
    <t>Hyderabad</t>
  </si>
  <si>
    <t>Pune</t>
  </si>
  <si>
    <t>Bangalore</t>
  </si>
  <si>
    <t>Kolkata</t>
  </si>
  <si>
    <t>Chennai</t>
  </si>
  <si>
    <t>Mumbai</t>
  </si>
  <si>
    <t>Delhi</t>
  </si>
  <si>
    <t>Status</t>
  </si>
  <si>
    <t>Row Labels</t>
  </si>
  <si>
    <t>Grand Total</t>
  </si>
  <si>
    <t>Sum of Price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</si>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</sst>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yyyy\-mm\-dd\ hh:mm:ss"/>
    <numFmt numFmtId="165"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8" fontId="1" fillId="0" borderId="1" xfId="0" applyNumberFormat="1" applyFont="1" applyBorder="1" applyAlignment="1">
      <alignment horizontal="center" vertical="top"/>
    </xf>
    <xf numFmtId="8"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6">
    <dxf>
      <numFmt numFmtId="12" formatCode="&quot;₹&quot;\ #,##0.00;[Red]&quot;₹&quot;\ \-#,##0.00"/>
    </dxf>
    <dxf>
      <numFmt numFmtId="12" formatCode="&quot;₹&quot;\ #,##0.00;[Red]&quot;₹&quot;\ \-#,##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[large_sales_data_practice.xlsx]Sheet2!city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40048873201206E-2"/>
          <c:y val="0.18013027441337276"/>
          <c:w val="0.8432494444444445"/>
          <c:h val="0.63801587301587304"/>
        </c:manualLayout>
      </c:layout>
      <c:lineChart>
        <c:grouping val="standard"/>
        <c:varyColors val="0"/>
        <c:ser>
          <c:idx val="0"/>
          <c:order val="0"/>
          <c:tx>
            <c:strRef>
              <c:f>Sheet2!$B$3</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Sheet2!$A$4:$A$11</c:f>
              <c:strCache>
                <c:ptCount val="7"/>
                <c:pt idx="0">
                  <c:v>Bangalore</c:v>
                </c:pt>
                <c:pt idx="1">
                  <c:v>Chennai</c:v>
                </c:pt>
                <c:pt idx="2">
                  <c:v>Delhi</c:v>
                </c:pt>
                <c:pt idx="3">
                  <c:v>Hyderabad</c:v>
                </c:pt>
                <c:pt idx="4">
                  <c:v>Kolkata</c:v>
                </c:pt>
                <c:pt idx="5">
                  <c:v>Mumbai</c:v>
                </c:pt>
                <c:pt idx="6">
                  <c:v>Pune</c:v>
                </c:pt>
              </c:strCache>
            </c:strRef>
          </c:cat>
          <c:val>
            <c:numRef>
              <c:f>Sheet2!$B$4:$B$11</c:f>
              <c:numCache>
                <c:formatCode>"₹"\ #,##0</c:formatCode>
                <c:ptCount val="7"/>
                <c:pt idx="0">
                  <c:v>1050000</c:v>
                </c:pt>
                <c:pt idx="1">
                  <c:v>1879000</c:v>
                </c:pt>
                <c:pt idx="2">
                  <c:v>1534000</c:v>
                </c:pt>
                <c:pt idx="3">
                  <c:v>1945500</c:v>
                </c:pt>
                <c:pt idx="4">
                  <c:v>1693500</c:v>
                </c:pt>
                <c:pt idx="5">
                  <c:v>2121500</c:v>
                </c:pt>
                <c:pt idx="6">
                  <c:v>2421000</c:v>
                </c:pt>
              </c:numCache>
            </c:numRef>
          </c:val>
          <c:smooth val="0"/>
          <c:extLst>
            <c:ext xmlns:c16="http://schemas.microsoft.com/office/drawing/2014/chart" uri="{C3380CC4-5D6E-409C-BE32-E72D297353CC}">
              <c16:uniqueId val="{00000000-07A5-4ADA-B5CB-33C319659020}"/>
            </c:ext>
          </c:extLst>
        </c:ser>
        <c:dLbls>
          <c:dLblPos val="t"/>
          <c:showLegendKey val="0"/>
          <c:showVal val="1"/>
          <c:showCatName val="0"/>
          <c:showSerName val="0"/>
          <c:showPercent val="0"/>
          <c:showBubbleSize val="0"/>
        </c:dLbls>
        <c:marker val="1"/>
        <c:smooth val="0"/>
        <c:axId val="1893628832"/>
        <c:axId val="1894057552"/>
      </c:lineChart>
      <c:catAx>
        <c:axId val="18936288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057552"/>
        <c:crosses val="autoZero"/>
        <c:auto val="1"/>
        <c:lblAlgn val="ctr"/>
        <c:lblOffset val="100"/>
        <c:noMultiLvlLbl val="0"/>
      </c:catAx>
      <c:valAx>
        <c:axId val="1894057552"/>
        <c:scaling>
          <c:orientation val="minMax"/>
        </c:scaling>
        <c:delete val="1"/>
        <c:axPos val="l"/>
        <c:numFmt formatCode="&quot;₹&quot;\ #,##0" sourceLinked="1"/>
        <c:majorTickMark val="none"/>
        <c:minorTickMark val="none"/>
        <c:tickLblPos val="nextTo"/>
        <c:crossAx val="189362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[large_sales_data_practice.xlsx]Sheet2!Product</c:name>
    <c:fmtId val="4"/>
  </c:pivotSource>
  <c:chart>
    <c:title>
      <c:overlay val="0"/>
      <c:spPr>
        <a:noFill/>
        <a:ln>
          <a:noFill/>
        </a:ln>
        <a:effectLst/>
      </c:spPr>
      <c:txPr>
        <a:bodyPr rot="0" spcFirstLastPara="1" vertOverflow="ellipsis" vert="horz" wrap="square" anchor="ctr" anchorCtr="1"/>
        <a:lstStyle/>
        <a:p>
          <a:pPr>
            <a:defRPr lang="en-IN" sz="144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IN"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Sheet2!$D$4:$D$11</c:f>
              <c:strCache>
                <c:ptCount val="7"/>
                <c:pt idx="0">
                  <c:v>Headphones</c:v>
                </c:pt>
                <c:pt idx="1">
                  <c:v>Keyboard</c:v>
                </c:pt>
                <c:pt idx="2">
                  <c:v>Laptop</c:v>
                </c:pt>
                <c:pt idx="3">
                  <c:v>Mobile</c:v>
                </c:pt>
                <c:pt idx="4">
                  <c:v>Mouse</c:v>
                </c:pt>
                <c:pt idx="5">
                  <c:v>Smartwatch</c:v>
                </c:pt>
                <c:pt idx="6">
                  <c:v>Tablet</c:v>
                </c:pt>
              </c:strCache>
            </c:strRef>
          </c:cat>
          <c:val>
            <c:numRef>
              <c:f>Sheet2!$E$4:$E$11</c:f>
              <c:numCache>
                <c:formatCode>"₹"\ #,##0</c:formatCode>
                <c:ptCount val="7"/>
                <c:pt idx="0">
                  <c:v>1339000</c:v>
                </c:pt>
                <c:pt idx="1">
                  <c:v>1689000</c:v>
                </c:pt>
                <c:pt idx="2">
                  <c:v>1620000</c:v>
                </c:pt>
                <c:pt idx="3">
                  <c:v>1763000</c:v>
                </c:pt>
                <c:pt idx="4">
                  <c:v>1927000</c:v>
                </c:pt>
                <c:pt idx="5">
                  <c:v>1878500</c:v>
                </c:pt>
                <c:pt idx="6">
                  <c:v>2428000</c:v>
                </c:pt>
              </c:numCache>
            </c:numRef>
          </c:val>
          <c:extLst>
            <c:ext xmlns:c16="http://schemas.microsoft.com/office/drawing/2014/chart" uri="{C3380CC4-5D6E-409C-BE32-E72D297353CC}">
              <c16:uniqueId val="{00000000-D3B6-45E6-9C50-F29DC183131E}"/>
            </c:ext>
          </c:extLst>
        </c:ser>
        <c:dLbls>
          <c:dLblPos val="inEnd"/>
          <c:showLegendKey val="0"/>
          <c:showVal val="1"/>
          <c:showCatName val="0"/>
          <c:showSerName val="0"/>
          <c:showPercent val="0"/>
          <c:showBubbleSize val="0"/>
        </c:dLbls>
        <c:gapWidth val="65"/>
        <c:axId val="1774480480"/>
        <c:axId val="1772728528"/>
      </c:barChart>
      <c:catAx>
        <c:axId val="1774480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IN" sz="1200" b="1" i="0" u="none" strike="noStrike" kern="1200" cap="all" baseline="0">
                <a:solidFill>
                  <a:schemeClr val="tx1"/>
                </a:solidFill>
                <a:latin typeface="+mn-lt"/>
                <a:ea typeface="+mn-ea"/>
                <a:cs typeface="+mn-cs"/>
              </a:defRPr>
            </a:pPr>
            <a:endParaRPr lang="en-US"/>
          </a:p>
        </c:txPr>
        <c:crossAx val="1772728528"/>
        <c:crosses val="autoZero"/>
        <c:auto val="1"/>
        <c:lblAlgn val="ctr"/>
        <c:lblOffset val="100"/>
        <c:noMultiLvlLbl val="0"/>
      </c:catAx>
      <c:valAx>
        <c:axId val="1772728528"/>
        <c:scaling>
          <c:orientation val="minMax"/>
        </c:scaling>
        <c:delete val="1"/>
        <c:axPos val="l"/>
        <c:numFmt formatCode="&quot;₹&quot;\ #,##0" sourceLinked="1"/>
        <c:majorTickMark val="none"/>
        <c:minorTickMark val="none"/>
        <c:tickLblPos val="nextTo"/>
        <c:crossAx val="177448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lgn="ctr">
        <a:defRPr lang="en-IN"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[large_sales_data_practice.xlsx]Sheet2!Category</c:name>
    <c:fmtId val="7"/>
  </c:pivotSource>
  <c:chart>
    <c:title>
      <c:tx>
        <c:rich>
          <a:bodyPr rot="0" spcFirstLastPara="1" vertOverflow="ellipsis" vert="horz" wrap="square" anchor="ctr" anchorCtr="1"/>
          <a:lstStyle/>
          <a:p>
            <a:pPr>
              <a:defRPr lang="en-IN" sz="1440" b="1" i="0" u="none" strike="noStrike" kern="1200" baseline="0">
                <a:solidFill>
                  <a:schemeClr val="tx1"/>
                </a:solidFill>
                <a:latin typeface="+mn-lt"/>
                <a:ea typeface="+mn-ea"/>
                <a:cs typeface="+mn-cs"/>
              </a:defRPr>
            </a:pPr>
            <a:r>
              <a:rPr lang="en-US"/>
              <a:t>Sales Data</a:t>
            </a:r>
          </a:p>
        </c:rich>
      </c:tx>
      <c:overlay val="0"/>
      <c:spPr>
        <a:noFill/>
        <a:ln>
          <a:noFill/>
        </a:ln>
        <a:effectLst/>
      </c:spPr>
      <c:txPr>
        <a:bodyPr rot="0" spcFirstLastPara="1" vertOverflow="ellipsis" vert="horz" wrap="square" anchor="ctr" anchorCtr="1"/>
        <a:lstStyle/>
        <a:p>
          <a:pPr>
            <a:defRPr lang="en-IN" sz="144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IN"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IN"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Sheet2!$G$4:$G$6</c:f>
              <c:strCache>
                <c:ptCount val="2"/>
                <c:pt idx="0">
                  <c:v>Accessories</c:v>
                </c:pt>
                <c:pt idx="1">
                  <c:v>Electronics Remember</c:v>
                </c:pt>
              </c:strCache>
            </c:strRef>
          </c:cat>
          <c:val>
            <c:numRef>
              <c:f>Sheet2!$H$4:$H$6</c:f>
              <c:numCache>
                <c:formatCode>"₹"\ #,##0</c:formatCode>
                <c:ptCount val="2"/>
                <c:pt idx="0">
                  <c:v>3538500</c:v>
                </c:pt>
                <c:pt idx="1">
                  <c:v>9106000</c:v>
                </c:pt>
              </c:numCache>
            </c:numRef>
          </c:val>
          <c:extLst>
            <c:ext xmlns:c16="http://schemas.microsoft.com/office/drawing/2014/chart" uri="{C3380CC4-5D6E-409C-BE32-E72D297353CC}">
              <c16:uniqueId val="{00000000-645A-4EB7-8F16-D2BABB2ED844}"/>
            </c:ext>
          </c:extLst>
        </c:ser>
        <c:dLbls>
          <c:dLblPos val="inEnd"/>
          <c:showLegendKey val="0"/>
          <c:showVal val="1"/>
          <c:showCatName val="0"/>
          <c:showSerName val="0"/>
          <c:showPercent val="0"/>
          <c:showBubbleSize val="0"/>
        </c:dLbls>
        <c:gapWidth val="65"/>
        <c:axId val="1898659520"/>
        <c:axId val="1891671168"/>
      </c:barChart>
      <c:catAx>
        <c:axId val="1898659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IN" sz="1200" b="1" i="0" u="none" strike="noStrike" kern="1200" cap="all" baseline="0">
                <a:solidFill>
                  <a:schemeClr val="tx1"/>
                </a:solidFill>
                <a:latin typeface="+mn-lt"/>
                <a:ea typeface="+mn-ea"/>
                <a:cs typeface="+mn-cs"/>
              </a:defRPr>
            </a:pPr>
            <a:endParaRPr lang="en-US"/>
          </a:p>
        </c:txPr>
        <c:crossAx val="1891671168"/>
        <c:crosses val="autoZero"/>
        <c:auto val="1"/>
        <c:lblAlgn val="ctr"/>
        <c:lblOffset val="100"/>
        <c:noMultiLvlLbl val="0"/>
      </c:catAx>
      <c:valAx>
        <c:axId val="18916711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IN" sz="1200" b="1" i="0" u="none" strike="noStrike" kern="1200" baseline="0">
                <a:solidFill>
                  <a:schemeClr val="tx1"/>
                </a:solidFill>
                <a:latin typeface="+mn-lt"/>
                <a:ea typeface="+mn-ea"/>
                <a:cs typeface="+mn-cs"/>
              </a:defRPr>
            </a:pPr>
            <a:endParaRPr lang="en-US"/>
          </a:p>
        </c:txPr>
        <c:crossAx val="189865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lgn="ctr">
        <a:defRPr lang="en-IN"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[large_sales_data_practice.xlsx]Sheet2!People</c:name>
    <c:fmtId val="3"/>
  </c:pivotSource>
  <c:chart>
    <c:title>
      <c:tx>
        <c:rich>
          <a:bodyPr rot="0" spcFirstLastPara="1" vertOverflow="ellipsis" vert="horz" wrap="square" anchor="ctr" anchorCtr="1"/>
          <a:lstStyle/>
          <a:p>
            <a:pPr>
              <a:defRPr lang="en-IN" sz="1440" b="1" i="0" u="none" strike="noStrike" kern="1200" spc="0" baseline="0">
                <a:solidFill>
                  <a:schemeClr val="tx1"/>
                </a:solidFill>
                <a:latin typeface="+mn-lt"/>
                <a:ea typeface="+mn-ea"/>
                <a:cs typeface="+mn-cs"/>
              </a:defRPr>
            </a:pPr>
            <a:r>
              <a:rPr lang="en-US"/>
              <a:t>Sales Data</a:t>
            </a:r>
          </a:p>
        </c:rich>
      </c:tx>
      <c:overlay val="0"/>
      <c:spPr>
        <a:noFill/>
        <a:ln>
          <a:noFill/>
        </a:ln>
        <a:effectLst/>
      </c:spPr>
      <c:txPr>
        <a:bodyPr rot="0" spcFirstLastPara="1" vertOverflow="ellipsis" vert="horz" wrap="square" anchor="ctr" anchorCtr="1"/>
        <a:lstStyle/>
        <a:p>
          <a:pPr>
            <a:defRPr lang="en-IN"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IN"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5B-4723-A1CA-3FA5428EC9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5B-4723-A1CA-3FA5428EC9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5B-4723-A1CA-3FA5428EC9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5B-4723-A1CA-3FA5428EC9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5B-4723-A1CA-3FA5428EC9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5B-4723-A1CA-3FA5428EC9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D5B-4723-A1CA-3FA5428EC9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D5B-4723-A1CA-3FA5428EC9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D5B-4723-A1CA-3FA5428EC9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D5B-4723-A1CA-3FA5428EC94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D5B-4723-A1CA-3FA5428EC94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D5B-4723-A1CA-3FA5428EC94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D5B-4723-A1CA-3FA5428EC94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D5B-4723-A1CA-3FA5428EC94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D5B-4723-A1CA-3FA5428EC94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D5B-4723-A1CA-3FA5428EC94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D5B-4723-A1CA-3FA5428EC94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D5B-4723-A1CA-3FA5428EC94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D5B-4723-A1CA-3FA5428EC94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D5B-4723-A1CA-3FA5428EC942}"/>
              </c:ext>
            </c:extLst>
          </c:dPt>
          <c:dLbls>
            <c:spPr>
              <a:noFill/>
              <a:ln>
                <a:noFill/>
              </a:ln>
              <a:effectLst/>
            </c:spPr>
            <c:txPr>
              <a:bodyPr rot="0" spcFirstLastPara="1" vertOverflow="ellipsis" vert="horz" wrap="square" anchor="ctr" anchorCtr="1"/>
              <a:lstStyle/>
              <a:p>
                <a:pPr>
                  <a:defRPr lang="en-IN"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Sheet2!$J$4:$J$24</c:f>
              <c:strCache>
                <c:ptCount val="20"/>
                <c:pt idx="0">
                  <c:v>Amit</c:v>
                </c:pt>
                <c:pt idx="1">
                  <c:v>Anita</c:v>
                </c:pt>
                <c:pt idx="2">
                  <c:v>Arun</c:v>
                </c:pt>
                <c:pt idx="3">
                  <c:v>Asha</c:v>
                </c:pt>
                <c:pt idx="4">
                  <c:v>Divya</c:v>
                </c:pt>
                <c:pt idx="5">
                  <c:v>Karthik</c:v>
                </c:pt>
                <c:pt idx="6">
                  <c:v>Kavya</c:v>
                </c:pt>
                <c:pt idx="7">
                  <c:v>Manoj</c:v>
                </c:pt>
                <c:pt idx="8">
                  <c:v>Meena</c:v>
                </c:pt>
                <c:pt idx="9">
                  <c:v>Neha</c:v>
                </c:pt>
                <c:pt idx="10">
                  <c:v>Nitin</c:v>
                </c:pt>
                <c:pt idx="11">
                  <c:v>Pooja</c:v>
                </c:pt>
                <c:pt idx="12">
                  <c:v>Priya</c:v>
                </c:pt>
                <c:pt idx="13">
                  <c:v>Rahul</c:v>
                </c:pt>
                <c:pt idx="14">
                  <c:v>Ramesh</c:v>
                </c:pt>
                <c:pt idx="15">
                  <c:v>Ravi</c:v>
                </c:pt>
                <c:pt idx="16">
                  <c:v>Sneha</c:v>
                </c:pt>
                <c:pt idx="17">
                  <c:v>Suresh</c:v>
                </c:pt>
                <c:pt idx="18">
                  <c:v>Swathi</c:v>
                </c:pt>
                <c:pt idx="19">
                  <c:v>Vikram</c:v>
                </c:pt>
              </c:strCache>
            </c:strRef>
          </c:cat>
          <c:val>
            <c:numRef>
              <c:f>Sheet2!$K$4:$K$24</c:f>
              <c:numCache>
                <c:formatCode>"₹"\ #,##0</c:formatCode>
                <c:ptCount val="20"/>
                <c:pt idx="0">
                  <c:v>528000</c:v>
                </c:pt>
                <c:pt idx="1">
                  <c:v>610000</c:v>
                </c:pt>
                <c:pt idx="2">
                  <c:v>569500</c:v>
                </c:pt>
                <c:pt idx="3">
                  <c:v>506000</c:v>
                </c:pt>
                <c:pt idx="4">
                  <c:v>559000</c:v>
                </c:pt>
                <c:pt idx="5">
                  <c:v>861000</c:v>
                </c:pt>
                <c:pt idx="6">
                  <c:v>732500</c:v>
                </c:pt>
                <c:pt idx="7">
                  <c:v>650000</c:v>
                </c:pt>
                <c:pt idx="8">
                  <c:v>360000</c:v>
                </c:pt>
                <c:pt idx="9">
                  <c:v>383500</c:v>
                </c:pt>
                <c:pt idx="10">
                  <c:v>820000</c:v>
                </c:pt>
                <c:pt idx="11">
                  <c:v>528500</c:v>
                </c:pt>
                <c:pt idx="12">
                  <c:v>794000</c:v>
                </c:pt>
                <c:pt idx="13">
                  <c:v>527000</c:v>
                </c:pt>
                <c:pt idx="14">
                  <c:v>530000</c:v>
                </c:pt>
                <c:pt idx="15">
                  <c:v>760500</c:v>
                </c:pt>
                <c:pt idx="16">
                  <c:v>622500</c:v>
                </c:pt>
                <c:pt idx="17">
                  <c:v>895500</c:v>
                </c:pt>
                <c:pt idx="18">
                  <c:v>835000</c:v>
                </c:pt>
                <c:pt idx="19">
                  <c:v>572000</c:v>
                </c:pt>
              </c:numCache>
            </c:numRef>
          </c:val>
          <c:extLst>
            <c:ext xmlns:c16="http://schemas.microsoft.com/office/drawing/2014/chart" uri="{C3380CC4-5D6E-409C-BE32-E72D297353CC}">
              <c16:uniqueId val="{00000028-CD5B-4723-A1CA-3FA5428EC94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IN"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349250</xdr:colOff>
      <xdr:row>0</xdr:row>
      <xdr:rowOff>23814</xdr:rowOff>
    </xdr:from>
    <xdr:to>
      <xdr:col>17</xdr:col>
      <xdr:colOff>325437</xdr:colOff>
      <xdr:row>12</xdr:row>
      <xdr:rowOff>63502</xdr:rowOff>
    </xdr:to>
    <xdr:graphicFrame macro="">
      <xdr:nvGraphicFramePr>
        <xdr:cNvPr id="2" name="Chart 1">
          <a:extLst>
            <a:ext uri="{FF2B5EF4-FFF2-40B4-BE49-F238E27FC236}">
              <a16:creationId xmlns:a16="http://schemas.microsoft.com/office/drawing/2014/main" id="{51E9CDED-0933-4D56-BE02-9F2BC6D64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333373</xdr:colOff>
      <xdr:row>12</xdr:row>
      <xdr:rowOff>55562</xdr:rowOff>
    </xdr:from>
    <xdr:to>
      <xdr:col>17</xdr:col>
      <xdr:colOff>349250</xdr:colOff>
      <xdr:row>24</xdr:row>
      <xdr:rowOff>142875</xdr:rowOff>
    </xdr:to>
    <xdr:graphicFrame macro="">
      <xdr:nvGraphicFramePr>
        <xdr:cNvPr id="3" name="Chart 2">
          <a:extLst>
            <a:ext uri="{FF2B5EF4-FFF2-40B4-BE49-F238E27FC236}">
              <a16:creationId xmlns:a16="http://schemas.microsoft.com/office/drawing/2014/main" id="{4C3D8582-7CEF-4298-8CA2-3A725FB4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333376</xdr:colOff>
      <xdr:row>0</xdr:row>
      <xdr:rowOff>0</xdr:rowOff>
    </xdr:from>
    <xdr:to>
      <xdr:col>23</xdr:col>
      <xdr:colOff>920751</xdr:colOff>
      <xdr:row>11</xdr:row>
      <xdr:rowOff>166686</xdr:rowOff>
    </xdr:to>
    <xdr:graphicFrame macro="">
      <xdr:nvGraphicFramePr>
        <xdr:cNvPr id="4" name="Chart 3">
          <a:extLst>
            <a:ext uri="{FF2B5EF4-FFF2-40B4-BE49-F238E27FC236}">
              <a16:creationId xmlns:a16="http://schemas.microsoft.com/office/drawing/2014/main" id="{8B50D8F1-BE32-43BD-8890-D5CC393F6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1</xdr:rowOff>
    </xdr:from>
    <xdr:to>
      <xdr:col>8</xdr:col>
      <xdr:colOff>341312</xdr:colOff>
      <xdr:row>24</xdr:row>
      <xdr:rowOff>150813</xdr:rowOff>
    </xdr:to>
    <xdr:graphicFrame macro="">
      <xdr:nvGraphicFramePr>
        <xdr:cNvPr id="5" name="Chart 4">
          <a:extLst>
            <a:ext uri="{FF2B5EF4-FFF2-40B4-BE49-F238E27FC236}">
              <a16:creationId xmlns:a16="http://schemas.microsoft.com/office/drawing/2014/main" id="{55286A46-31BF-45D0-9F30-EEAC0569C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355601</xdr:colOff>
      <xdr:row>12</xdr:row>
      <xdr:rowOff>3174</xdr:rowOff>
    </xdr:from>
    <xdr:to>
      <xdr:col>20</xdr:col>
      <xdr:colOff>350838</xdr:colOff>
      <xdr:row>25</xdr:row>
      <xdr:rowOff>153986</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FA5D47BA-23F0-4AC5-AE30-3B5D807256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277476" y="219392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 refreshedDate="46045.452081944444" createdVersion="6" refreshedVersion="6" minRefreshableVersion="3" recordCount="499" xr:uid="{62B4AA2F-8955-4E7C-BAE8-EA8645919451}">
  <cacheSource type="worksheet">
    <worksheetSource name="Table2"/>
  </cacheSource>
  <cacheFields count="13">
    <cacheField name="Order_ID" numFmtId="0">
      <sharedItems containsSemiMixedTypes="0" containsString="0" containsNumber="1" containsInteger="1" minValue="100001" maxValue="100499"/>
    </cacheField>
    <cacheField name="Order_Date" numFmtId="164">
      <sharedItems containsSemiMixedTypes="0" containsNonDate="0" containsDate="1" containsString="0" minDate="2023-01-01T00:00:00" maxDate="2023-01-22T00:00:00" count="499">
        <d v="2023-01-01T00:00:00"/>
        <d v="2023-01-01T01:00:00"/>
        <d v="2023-01-01T02:00:00"/>
        <d v="2023-01-01T03:00:00"/>
        <d v="2023-01-01T04:00:00"/>
        <d v="2023-01-01T05:00:00"/>
        <d v="2023-01-01T06:00:00"/>
        <d v="2023-01-01T07:00:00"/>
        <d v="2023-01-01T08:00:00"/>
        <d v="2023-01-01T09:00:00"/>
        <d v="2023-01-01T10:00:00"/>
        <d v="2023-01-01T11:00:00"/>
        <d v="2023-01-01T12:00:00"/>
        <d v="2023-01-01T13:00:00"/>
        <d v="2023-01-01T14:00:00"/>
        <d v="2023-01-01T15:00:00"/>
        <d v="2023-01-01T16:00:00"/>
        <d v="2023-01-01T17:00:00"/>
        <d v="2023-01-01T18:00:00"/>
        <d v="2023-01-01T19:00:00"/>
        <d v="2023-01-01T20:00:00"/>
        <d v="2023-01-01T21:00:00"/>
        <d v="2023-01-01T22:00:00"/>
        <d v="2023-01-01T23:00:00"/>
        <d v="2023-01-02T00:00:00"/>
        <d v="2023-01-02T01:00:00"/>
        <d v="2023-01-02T02:00:00"/>
        <d v="2023-01-02T03:00:00"/>
        <d v="2023-01-02T04:00:00"/>
        <d v="2023-01-02T05:00:00"/>
        <d v="2023-01-02T06:00:00"/>
        <d v="2023-01-02T07:00:00"/>
        <d v="2023-01-02T08:00:00"/>
        <d v="2023-01-02T09:00:00"/>
        <d v="2023-01-02T10:00:00"/>
        <d v="2023-01-02T11:00:00"/>
        <d v="2023-01-02T12:00:00"/>
        <d v="2023-01-02T13:00:00"/>
        <d v="2023-01-02T14:00:00"/>
        <d v="2023-01-02T15:00:00"/>
        <d v="2023-01-02T16:00:00"/>
        <d v="2023-01-02T17:00:00"/>
        <d v="2023-01-02T18:00:00"/>
        <d v="2023-01-02T19:00:00"/>
        <d v="2023-01-02T20:00:00"/>
        <d v="2023-01-02T21:00:00"/>
        <d v="2023-01-02T22:00:00"/>
        <d v="2023-01-02T23:00:00"/>
        <d v="2023-01-03T00:00:00"/>
        <d v="2023-01-03T01:00:00"/>
        <d v="2023-01-03T02:00:00"/>
        <d v="2023-01-03T03:00:00"/>
        <d v="2023-01-03T04:00:00"/>
        <d v="2023-01-03T05:00:00"/>
        <d v="2023-01-03T06:00:00"/>
        <d v="2023-01-03T07:00:00"/>
        <d v="2023-01-03T08:00:00"/>
        <d v="2023-01-03T09:00:00"/>
        <d v="2023-01-03T10:00:00"/>
        <d v="2023-01-03T11:00:00"/>
        <d v="2023-01-03T12:00:00"/>
        <d v="2023-01-03T13:00:00"/>
        <d v="2023-01-03T14:00:00"/>
        <d v="2023-01-03T15:00:00"/>
        <d v="2023-01-03T16:00:00"/>
        <d v="2023-01-03T17:00:00"/>
        <d v="2023-01-03T18:00:00"/>
        <d v="2023-01-03T19:00:00"/>
        <d v="2023-01-03T20:00:00"/>
        <d v="2023-01-03T21:00:00"/>
        <d v="2023-01-03T22:00:00"/>
        <d v="2023-01-03T23:00:00"/>
        <d v="2023-01-04T00:00:00"/>
        <d v="2023-01-04T01:00:00"/>
        <d v="2023-01-04T02:00:00"/>
        <d v="2023-01-04T03:00:00"/>
        <d v="2023-01-04T04:00:00"/>
        <d v="2023-01-04T05:00:00"/>
        <d v="2023-01-04T06:00:00"/>
        <d v="2023-01-04T07:00:00"/>
        <d v="2023-01-04T08:00:00"/>
        <d v="2023-01-04T09:00:00"/>
        <d v="2023-01-04T10:00:00"/>
        <d v="2023-01-04T11:00:00"/>
        <d v="2023-01-04T12:00:00"/>
        <d v="2023-01-04T13:00:00"/>
        <d v="2023-01-04T14:00:00"/>
        <d v="2023-01-04T15:00:00"/>
        <d v="2023-01-04T16:00:00"/>
        <d v="2023-01-04T17:00:00"/>
        <d v="2023-01-04T18:00:00"/>
        <d v="2023-01-04T19:00:00"/>
        <d v="2023-01-04T20:00:00"/>
        <d v="2023-01-04T21:00:00"/>
        <d v="2023-01-04T22:00:00"/>
        <d v="2023-01-04T23:00:00"/>
        <d v="2023-01-05T00:00:00"/>
        <d v="2023-01-05T01:00:00"/>
        <d v="2023-01-05T02:00:00"/>
        <d v="2023-01-05T03:00:00"/>
        <d v="2023-01-05T04:00:00"/>
        <d v="2023-01-05T05:00:00"/>
        <d v="2023-01-05T06:00:00"/>
        <d v="2023-01-05T07:00:00"/>
        <d v="2023-01-05T08:00:00"/>
        <d v="2023-01-05T09:00:00"/>
        <d v="2023-01-05T10:00:00"/>
        <d v="2023-01-05T11:00:00"/>
        <d v="2023-01-05T12:00:00"/>
        <d v="2023-01-05T13:00:00"/>
        <d v="2023-01-05T14:00:00"/>
        <d v="2023-01-05T15:00:00"/>
        <d v="2023-01-05T16:00:00"/>
        <d v="2023-01-05T17:00:00"/>
        <d v="2023-01-05T18:00:00"/>
        <d v="2023-01-05T19:00:00"/>
        <d v="2023-01-05T20:00:00"/>
        <d v="2023-01-05T21:00:00"/>
        <d v="2023-01-05T22:00:00"/>
        <d v="2023-01-05T23:00:00"/>
        <d v="2023-01-06T00:00:00"/>
        <d v="2023-01-06T01:00:00"/>
        <d v="2023-01-06T02:00:00"/>
        <d v="2023-01-06T03:00:00"/>
        <d v="2023-01-06T04:00:00"/>
        <d v="2023-01-06T05:00:00"/>
        <d v="2023-01-06T06:00:00"/>
        <d v="2023-01-06T07:00:00"/>
        <d v="2023-01-06T08:00:00"/>
        <d v="2023-01-06T09:00:00"/>
        <d v="2023-01-06T10:00:00"/>
        <d v="2023-01-06T11:00:00"/>
        <d v="2023-01-06T12:00:00"/>
        <d v="2023-01-06T13:00:00"/>
        <d v="2023-01-06T14:00:00"/>
        <d v="2023-01-06T15:00:00"/>
        <d v="2023-01-06T16:00:00"/>
        <d v="2023-01-06T17:00:00"/>
        <d v="2023-01-06T18:00:00"/>
        <d v="2023-01-06T19:00:00"/>
        <d v="2023-01-06T20:00:00"/>
        <d v="2023-01-06T21:00:00"/>
        <d v="2023-01-06T22:00:00"/>
        <d v="2023-01-06T23:00:00"/>
        <d v="2023-01-07T00:00:00"/>
        <d v="2023-01-07T01:00:00"/>
        <d v="2023-01-07T02:00:00"/>
        <d v="2023-01-07T03:00:00"/>
        <d v="2023-01-07T04:00:00"/>
        <d v="2023-01-07T05:00:00"/>
        <d v="2023-01-07T06:00:00"/>
        <d v="2023-01-07T07:00:00"/>
        <d v="2023-01-07T08:00:00"/>
        <d v="2023-01-07T09:00:00"/>
        <d v="2023-01-07T10:00:00"/>
        <d v="2023-01-07T11:00:00"/>
        <d v="2023-01-07T12:00:00"/>
        <d v="2023-01-07T13:00:00"/>
        <d v="2023-01-07T14:00:00"/>
        <d v="2023-01-07T15:00:00"/>
        <d v="2023-01-07T16:00:00"/>
        <d v="2023-01-07T17:00:00"/>
        <d v="2023-01-07T18:00:00"/>
        <d v="2023-01-07T19:00:00"/>
        <d v="2023-01-07T20:00:00"/>
        <d v="2023-01-07T21:00:00"/>
        <d v="2023-01-07T22:00:00"/>
        <d v="2023-01-07T23:00:00"/>
        <d v="2023-01-08T00:00:00"/>
        <d v="2023-01-08T01:00:00"/>
        <d v="2023-01-08T02:00:00"/>
        <d v="2023-01-08T03:00:00"/>
        <d v="2023-01-08T04:00:00"/>
        <d v="2023-01-08T05:00:00"/>
        <d v="2023-01-08T06:00:00"/>
        <d v="2023-01-08T07:00:00"/>
        <d v="2023-01-08T08:00:00"/>
        <d v="2023-01-08T09:00:00"/>
        <d v="2023-01-08T10:00:00"/>
        <d v="2023-01-08T11:00:00"/>
        <d v="2023-01-08T12:00:00"/>
        <d v="2023-01-08T13:00:00"/>
        <d v="2023-01-08T14:00:00"/>
        <d v="2023-01-08T15:00:00"/>
        <d v="2023-01-08T16:00:00"/>
        <d v="2023-01-08T17:00:00"/>
        <d v="2023-01-08T18:00:00"/>
        <d v="2023-01-08T19:00:00"/>
        <d v="2023-01-08T20:00:00"/>
        <d v="2023-01-08T21:00:00"/>
        <d v="2023-01-08T22:00:00"/>
        <d v="2023-01-08T23:00:00"/>
        <d v="2023-01-09T00:00:00"/>
        <d v="2023-01-09T01:00:00"/>
        <d v="2023-01-09T02:00:00"/>
        <d v="2023-01-09T03:00:00"/>
        <d v="2023-01-09T04:00:00"/>
        <d v="2023-01-09T05:00:00"/>
        <d v="2023-01-09T06:00:00"/>
        <d v="2023-01-09T07:00:00"/>
        <d v="2023-01-09T08:00:00"/>
        <d v="2023-01-09T09:00:00"/>
        <d v="2023-01-09T10:00:00"/>
        <d v="2023-01-09T11:00:00"/>
        <d v="2023-01-09T12:00:00"/>
        <d v="2023-01-09T13:00:00"/>
        <d v="2023-01-09T14:00:00"/>
        <d v="2023-01-09T15:00:00"/>
        <d v="2023-01-09T16:00:00"/>
        <d v="2023-01-09T17:00:00"/>
        <d v="2023-01-09T18:00:00"/>
        <d v="2023-01-09T19:00:00"/>
        <d v="2023-01-09T20:00:00"/>
        <d v="2023-01-09T21:00:00"/>
        <d v="2023-01-09T22:00:00"/>
        <d v="2023-01-09T23:00:00"/>
        <d v="2023-01-10T00:00:00"/>
        <d v="2023-01-10T01:00:00"/>
        <d v="2023-01-10T02:00:00"/>
        <d v="2023-01-10T03:00:00"/>
        <d v="2023-01-10T04:00:00"/>
        <d v="2023-01-10T05:00:00"/>
        <d v="2023-01-10T06:00:00"/>
        <d v="2023-01-10T07:00:00"/>
        <d v="2023-01-10T08:00:00"/>
        <d v="2023-01-10T09:00:00"/>
        <d v="2023-01-10T10:00:00"/>
        <d v="2023-01-10T11:00:00"/>
        <d v="2023-01-10T12:00:00"/>
        <d v="2023-01-10T13:00:00"/>
        <d v="2023-01-10T14:00:00"/>
        <d v="2023-01-10T15:00:00"/>
        <d v="2023-01-10T16:00:00"/>
        <d v="2023-01-10T17:00:00"/>
        <d v="2023-01-10T18:00:00"/>
        <d v="2023-01-10T19:00:00"/>
        <d v="2023-01-10T20:00:00"/>
        <d v="2023-01-10T21:00:00"/>
        <d v="2023-01-10T22:00:00"/>
        <d v="2023-01-10T23:00:00"/>
        <d v="2023-01-11T00:00:00"/>
        <d v="2023-01-11T01:00:00"/>
        <d v="2023-01-11T02:00:00"/>
        <d v="2023-01-11T03:00:00"/>
        <d v="2023-01-11T04:00:00"/>
        <d v="2023-01-11T05:00:00"/>
        <d v="2023-01-11T06:00:00"/>
        <d v="2023-01-11T07:00:00"/>
        <d v="2023-01-11T08:00:00"/>
        <d v="2023-01-11T09:00:00"/>
        <d v="2023-01-11T10:00:00"/>
        <d v="2023-01-11T11:00:00"/>
        <d v="2023-01-11T12:00:00"/>
        <d v="2023-01-11T13:00:00"/>
        <d v="2023-01-11T14:00:00"/>
        <d v="2023-01-11T15:00:00"/>
        <d v="2023-01-11T16:00:00"/>
        <d v="2023-01-11T17:00:00"/>
        <d v="2023-01-11T18:00:00"/>
        <d v="2023-01-11T19:00:00"/>
        <d v="2023-01-11T20:00:00"/>
        <d v="2023-01-11T21:00:00"/>
        <d v="2023-01-11T22:00:00"/>
        <d v="2023-01-11T23:00:00"/>
        <d v="2023-01-12T00:00:00"/>
        <d v="2023-01-12T01:00:00"/>
        <d v="2023-01-12T02:00:00"/>
        <d v="2023-01-12T03:00:00"/>
        <d v="2023-01-12T04:00:00"/>
        <d v="2023-01-12T05:00:00"/>
        <d v="2023-01-12T06:00:00"/>
        <d v="2023-01-12T07:00:00"/>
        <d v="2023-01-12T08:00:00"/>
        <d v="2023-01-12T09:00:00"/>
        <d v="2023-01-12T10:00:00"/>
        <d v="2023-01-12T11:00:00"/>
        <d v="2023-01-12T12:00:00"/>
        <d v="2023-01-12T13:00:00"/>
        <d v="2023-01-12T14:00:00"/>
        <d v="2023-01-12T15:00:00"/>
        <d v="2023-01-12T16:00:00"/>
        <d v="2023-01-12T17:00:00"/>
        <d v="2023-01-12T18:00:00"/>
        <d v="2023-01-12T19:00:00"/>
        <d v="2023-01-12T20:00:00"/>
        <d v="2023-01-12T21:00:00"/>
        <d v="2023-01-12T22:00:00"/>
        <d v="2023-01-12T23:00:00"/>
        <d v="2023-01-13T00:00:00"/>
        <d v="2023-01-13T01:00:00"/>
        <d v="2023-01-13T02:00:00"/>
        <d v="2023-01-13T03:00:00"/>
        <d v="2023-01-13T04:00:00"/>
        <d v="2023-01-13T05:00:00"/>
        <d v="2023-01-13T06:00:00"/>
        <d v="2023-01-13T07:00:00"/>
        <d v="2023-01-13T08:00:00"/>
        <d v="2023-01-13T09:00:00"/>
        <d v="2023-01-13T10:00:00"/>
        <d v="2023-01-13T11:00:00"/>
        <d v="2023-01-13T12:00:00"/>
        <d v="2023-01-13T13:00:00"/>
        <d v="2023-01-13T14:00:00"/>
        <d v="2023-01-13T15:00:00"/>
        <d v="2023-01-13T16:00:00"/>
        <d v="2023-01-13T17:00:00"/>
        <d v="2023-01-13T18:00:00"/>
        <d v="2023-01-13T19:00:00"/>
        <d v="2023-01-13T20:00:00"/>
        <d v="2023-01-13T21:00:00"/>
        <d v="2023-01-13T22:00:00"/>
        <d v="2023-01-13T23:00:00"/>
        <d v="2023-01-14T00:00:00"/>
        <d v="2023-01-14T01:00:00"/>
        <d v="2023-01-14T02:00:00"/>
        <d v="2023-01-14T03:00:00"/>
        <d v="2023-01-14T04:00:00"/>
        <d v="2023-01-14T05:00:00"/>
        <d v="2023-01-14T06:00:00"/>
        <d v="2023-01-14T07:00:00"/>
        <d v="2023-01-14T08:00:00"/>
        <d v="2023-01-14T09:00:00"/>
        <d v="2023-01-14T10:00:00"/>
        <d v="2023-01-14T11:00:00"/>
        <d v="2023-01-14T12:00:00"/>
        <d v="2023-01-14T13:00:00"/>
        <d v="2023-01-14T14:00:00"/>
        <d v="2023-01-14T15:00:00"/>
        <d v="2023-01-14T16:00:00"/>
        <d v="2023-01-14T17:00:00"/>
        <d v="2023-01-14T18:00:00"/>
        <d v="2023-01-14T19:00:00"/>
        <d v="2023-01-14T20:00:00"/>
        <d v="2023-01-14T21:00:00"/>
        <d v="2023-01-14T22:00:00"/>
        <d v="2023-01-14T23:00:00"/>
        <d v="2023-01-15T00:00:00"/>
        <d v="2023-01-15T01:00:00"/>
        <d v="2023-01-15T02:00:00"/>
        <d v="2023-01-15T03:00:00"/>
        <d v="2023-01-15T04:00:00"/>
        <d v="2023-01-15T05:00:00"/>
        <d v="2023-01-15T06:00:00"/>
        <d v="2023-01-15T07:00:00"/>
        <d v="2023-01-15T08:00:00"/>
        <d v="2023-01-15T09:00:00"/>
        <d v="2023-01-15T10:00:00"/>
        <d v="2023-01-15T11:00:00"/>
        <d v="2023-01-15T12:00:00"/>
        <d v="2023-01-15T13:00:00"/>
        <d v="2023-01-15T14:00:00"/>
        <d v="2023-01-15T15:00:00"/>
        <d v="2023-01-15T16:00:00"/>
        <d v="2023-01-15T17:00:00"/>
        <d v="2023-01-15T18:00:00"/>
        <d v="2023-01-15T19:00:00"/>
        <d v="2023-01-15T20:00:00"/>
        <d v="2023-01-15T21:00:00"/>
        <d v="2023-01-15T22:00:00"/>
        <d v="2023-01-15T23:00:00"/>
        <d v="2023-01-16T00:00:00"/>
        <d v="2023-01-16T01:00:00"/>
        <d v="2023-01-16T02:00:00"/>
        <d v="2023-01-16T03:00:00"/>
        <d v="2023-01-16T04:00:00"/>
        <d v="2023-01-16T05:00:00"/>
        <d v="2023-01-16T06:00:00"/>
        <d v="2023-01-16T07:00:00"/>
        <d v="2023-01-16T08:00:00"/>
        <d v="2023-01-16T09:00:00"/>
        <d v="2023-01-16T10:00:00"/>
        <d v="2023-01-16T11:00:00"/>
        <d v="2023-01-16T12:00:00"/>
        <d v="2023-01-16T13:00:00"/>
        <d v="2023-01-16T14:00:00"/>
        <d v="2023-01-16T15:00:00"/>
        <d v="2023-01-16T16:00:00"/>
        <d v="2023-01-16T17:00:00"/>
        <d v="2023-01-16T18:00:00"/>
        <d v="2023-01-16T19:00:00"/>
        <d v="2023-01-16T20:00:00"/>
        <d v="2023-01-16T21:00:00"/>
        <d v="2023-01-16T22:00:00"/>
        <d v="2023-01-16T23:00:00"/>
        <d v="2023-01-17T00:00:00"/>
        <d v="2023-01-17T01:00:00"/>
        <d v="2023-01-17T02:00:00"/>
        <d v="2023-01-17T03:00:00"/>
        <d v="2023-01-17T04:00:00"/>
        <d v="2023-01-17T05:00:00"/>
        <d v="2023-01-17T06:00:00"/>
        <d v="2023-01-17T07:00:00"/>
        <d v="2023-01-17T08:00:00"/>
        <d v="2023-01-17T09:00:00"/>
        <d v="2023-01-17T10:00:00"/>
        <d v="2023-01-17T11:00:00"/>
        <d v="2023-01-17T12:00:00"/>
        <d v="2023-01-17T13:00:00"/>
        <d v="2023-01-17T14:00:00"/>
        <d v="2023-01-17T15:00:00"/>
        <d v="2023-01-17T16:00:00"/>
        <d v="2023-01-17T17:00:00"/>
        <d v="2023-01-17T18:00:00"/>
        <d v="2023-01-17T19:00:00"/>
        <d v="2023-01-17T20:00:00"/>
        <d v="2023-01-17T21:00:00"/>
        <d v="2023-01-17T22:00:00"/>
        <d v="2023-01-17T23:00:00"/>
        <d v="2023-01-18T00:00:00"/>
        <d v="2023-01-18T01:00:00"/>
        <d v="2023-01-18T02:00:00"/>
        <d v="2023-01-18T03:00:00"/>
        <d v="2023-01-18T04:00:00"/>
        <d v="2023-01-18T05:00:00"/>
        <d v="2023-01-18T06:00:00"/>
        <d v="2023-01-18T07:00:00"/>
        <d v="2023-01-18T08:00:00"/>
        <d v="2023-01-18T09:00:00"/>
        <d v="2023-01-18T10:00:00"/>
        <d v="2023-01-18T11:00:00"/>
        <d v="2023-01-18T12:00:00"/>
        <d v="2023-01-18T13:00:00"/>
        <d v="2023-01-18T14:00:00"/>
        <d v="2023-01-18T15:00:00"/>
        <d v="2023-01-18T16:00:00"/>
        <d v="2023-01-18T17:00:00"/>
        <d v="2023-01-18T18:00:00"/>
        <d v="2023-01-18T19:00:00"/>
        <d v="2023-01-18T20:00:00"/>
        <d v="2023-01-18T21:00:00"/>
        <d v="2023-01-18T22:00:00"/>
        <d v="2023-01-18T23:00:00"/>
        <d v="2023-01-19T00:00:00"/>
        <d v="2023-01-19T01:00:00"/>
        <d v="2023-01-19T02:00:00"/>
        <d v="2023-01-19T03:00:00"/>
        <d v="2023-01-19T04:00:00"/>
        <d v="2023-01-19T05:00:00"/>
        <d v="2023-01-19T06:00:00"/>
        <d v="2023-01-19T07:00:00"/>
        <d v="2023-01-19T08:00:00"/>
        <d v="2023-01-19T09:00:00"/>
        <d v="2023-01-19T10:00:00"/>
        <d v="2023-01-19T11:00:00"/>
        <d v="2023-01-19T12:00:00"/>
        <d v="2023-01-19T13:00:00"/>
        <d v="2023-01-19T14:00:00"/>
        <d v="2023-01-19T15:00:00"/>
        <d v="2023-01-19T16:00:00"/>
        <d v="2023-01-19T17:00:00"/>
        <d v="2023-01-19T18:00:00"/>
        <d v="2023-01-19T19:00:00"/>
        <d v="2023-01-19T20:00:00"/>
        <d v="2023-01-19T21:00:00"/>
        <d v="2023-01-19T22:00:00"/>
        <d v="2023-01-19T23:00:00"/>
        <d v="2023-01-20T00:00:00"/>
        <d v="2023-01-20T01:00:00"/>
        <d v="2023-01-20T02:00:00"/>
        <d v="2023-01-20T03:00:00"/>
        <d v="2023-01-20T04:00:00"/>
        <d v="2023-01-20T05:00:00"/>
        <d v="2023-01-20T06:00:00"/>
        <d v="2023-01-20T07:00:00"/>
        <d v="2023-01-20T08:00:00"/>
        <d v="2023-01-20T09:00:00"/>
        <d v="2023-01-20T10:00:00"/>
        <d v="2023-01-20T11:00:00"/>
        <d v="2023-01-20T12:00:00"/>
        <d v="2023-01-20T13:00:00"/>
        <d v="2023-01-20T14:00:00"/>
        <d v="2023-01-20T15:00:00"/>
        <d v="2023-01-20T16:00:00"/>
        <d v="2023-01-20T17:00:00"/>
        <d v="2023-01-20T18:00:00"/>
        <d v="2023-01-20T19:00:00"/>
        <d v="2023-01-20T20:00:00"/>
        <d v="2023-01-20T21:00:00"/>
        <d v="2023-01-20T22:00:00"/>
        <d v="2023-01-20T23:00:00"/>
        <d v="2023-01-21T00:00:00"/>
        <d v="2023-01-21T01:00:00"/>
        <d v="2023-01-21T02:00:00"/>
        <d v="2023-01-21T03:00:00"/>
        <d v="2023-01-21T04:00:00"/>
        <d v="2023-01-21T05:00:00"/>
        <d v="2023-01-21T06:00:00"/>
        <d v="2023-01-21T07:00:00"/>
        <d v="2023-01-21T08:00:00"/>
        <d v="2023-01-21T09:00:00"/>
        <d v="2023-01-21T10:00:00"/>
        <d v="2023-01-21T11:00:00"/>
        <d v="2023-01-21T12:00:00"/>
        <d v="2023-01-21T13:00:00"/>
        <d v="2023-01-21T14:00:00"/>
        <d v="2023-01-21T15:00:00"/>
        <d v="2023-01-21T16:00:00"/>
        <d v="2023-01-21T17:00:00"/>
        <d v="2023-01-21T18:00:00"/>
      </sharedItems>
    </cacheField>
    <cacheField name="Customer_Name" numFmtId="0">
      <sharedItems count="20">
        <s v="Arun"/>
        <s v="Swathi"/>
        <s v="Ramesh"/>
        <s v="Rahul"/>
        <s v="Divya"/>
        <s v="Manoj"/>
        <s v="Priya"/>
        <s v="Suresh"/>
        <s v="Anita"/>
        <s v="Sneha"/>
        <s v="Meena"/>
        <s v="Ravi"/>
        <s v="Nitin"/>
        <s v="Pooja"/>
        <s v="Kavya"/>
        <s v="Karthik"/>
        <s v="Vikram"/>
        <s v="Asha"/>
        <s v="Neha"/>
        <s v="Amit"/>
      </sharedItems>
    </cacheField>
    <cacheField name="Product" numFmtId="0">
      <sharedItems count="7">
        <s v="Mobile"/>
        <s v="Keyboard"/>
        <s v="Headphones"/>
        <s v="Smartwatch"/>
        <s v="Tablet"/>
        <s v="Mouse"/>
        <s v="Laptop"/>
      </sharedItems>
    </cacheField>
    <cacheField name="Category" numFmtId="0">
      <sharedItems count="2">
        <s v="Electronics Remember"/>
        <s v="Accessories"/>
      </sharedItems>
    </cacheField>
    <cacheField name="Quantity" numFmtId="0">
      <sharedItems containsSemiMixedTypes="0" containsString="0" containsNumber="1" containsInteger="1" minValue="1" maxValue="5"/>
    </cacheField>
    <cacheField name="Price" numFmtId="8">
      <sharedItems containsString="0" containsBlank="1" containsNumber="1" containsInteger="1" minValue="1500" maxValue="65000" count="11">
        <n v="55000"/>
        <n v="65000"/>
        <m/>
        <n v="1500"/>
        <n v="22000"/>
        <n v="18000"/>
        <n v="2500"/>
        <n v="5000"/>
        <n v="45000"/>
        <n v="12000"/>
        <n v="35000"/>
      </sharedItems>
    </cacheField>
    <cacheField name="Status" numFmtId="8">
      <sharedItems count="2">
        <s v="Yes"/>
        <s v="No"/>
      </sharedItems>
    </cacheField>
    <cacheField name="Payment_Mode" numFmtId="0">
      <sharedItems/>
    </cacheField>
    <cacheField name="City" numFmtId="0">
      <sharedItems count="7">
        <s v="Hyderabad"/>
        <s v="Pune"/>
        <s v="Bangalore"/>
        <s v="Kolkata"/>
        <s v="Chennai"/>
        <s v="Mumbai"/>
        <s v="Delhi"/>
      </sharedItems>
    </cacheField>
    <cacheField name="Total_Sales" numFmtId="0">
      <sharedItems containsSemiMixedTypes="0" containsString="0" containsNumber="1" containsInteger="1" minValue="1500" maxValue="325000" count="44">
        <n v="275000"/>
        <n v="325000"/>
        <n v="6000"/>
        <n v="4500"/>
        <n v="55000"/>
        <n v="44000"/>
        <n v="195000"/>
        <n v="18000"/>
        <n v="12500"/>
        <n v="20000"/>
        <n v="7500"/>
        <n v="45000"/>
        <n v="60000"/>
        <n v="220000"/>
        <n v="90000"/>
        <n v="140000"/>
        <n v="36000"/>
        <n v="3000"/>
        <n v="70000"/>
        <n v="2500"/>
        <n v="54000"/>
        <n v="5000"/>
        <n v="24000"/>
        <n v="66000"/>
        <n v="135000"/>
        <n v="175000"/>
        <n v="10000"/>
        <n v="48000"/>
        <n v="130000"/>
        <n v="35000"/>
        <n v="12000"/>
        <n v="110000"/>
        <n v="225000"/>
        <n v="105000"/>
        <n v="72000"/>
        <n v="1500"/>
        <n v="88000"/>
        <n v="165000"/>
        <n v="25000"/>
        <n v="260000"/>
        <n v="15000"/>
        <n v="22000"/>
        <n v="180000"/>
        <n v="65000"/>
      </sharedItems>
    </cacheField>
    <cacheField name="Month" numFmtId="0">
      <sharedItems containsSemiMixedTypes="0" containsString="0" containsNumber="1" containsInteger="1" minValue="1" maxValue="1" count="1">
        <n v="1"/>
      </sharedItems>
    </cacheField>
    <cacheField name="Year" numFmtId="0">
      <sharedItems containsSemiMixedTypes="0" containsString="0" containsNumber="1" containsInteger="1" minValue="2023" maxValue="2023" count="1">
        <n v="2023"/>
      </sharedItems>
    </cacheField>
  </cacheFields>
  <extLst>
    <ext xmlns:x14="http://schemas.microsoft.com/office/spreadsheetml/2009/9/main" uri="{725AE2AE-9491-48be-B2B4-4EB974FC3084}">
      <x14:pivotCacheDefinition pivotCacheId="176038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00001"/>
    <x v="0"/>
    <x v="0"/>
    <x v="0"/>
    <x v="0"/>
    <n v="5"/>
    <x v="0"/>
    <x v="0"/>
    <s v="Card"/>
    <x v="0"/>
    <x v="0"/>
    <x v="0"/>
    <x v="0"/>
  </r>
  <r>
    <n v="100002"/>
    <x v="1"/>
    <x v="1"/>
    <x v="1"/>
    <x v="1"/>
    <n v="5"/>
    <x v="1"/>
    <x v="0"/>
    <s v="UPI"/>
    <x v="1"/>
    <x v="1"/>
    <x v="0"/>
    <x v="0"/>
  </r>
  <r>
    <n v="100003"/>
    <x v="2"/>
    <x v="2"/>
    <x v="2"/>
    <x v="0"/>
    <n v="4"/>
    <x v="2"/>
    <x v="1"/>
    <s v="UPI"/>
    <x v="2"/>
    <x v="2"/>
    <x v="0"/>
    <x v="0"/>
  </r>
  <r>
    <n v="100004"/>
    <x v="3"/>
    <x v="3"/>
    <x v="0"/>
    <x v="0"/>
    <n v="3"/>
    <x v="3"/>
    <x v="0"/>
    <s v="UPI"/>
    <x v="0"/>
    <x v="3"/>
    <x v="0"/>
    <x v="0"/>
  </r>
  <r>
    <n v="100005"/>
    <x v="4"/>
    <x v="4"/>
    <x v="3"/>
    <x v="0"/>
    <n v="1"/>
    <x v="0"/>
    <x v="0"/>
    <s v="Card"/>
    <x v="3"/>
    <x v="4"/>
    <x v="0"/>
    <x v="0"/>
  </r>
  <r>
    <n v="100006"/>
    <x v="5"/>
    <x v="0"/>
    <x v="4"/>
    <x v="1"/>
    <n v="2"/>
    <x v="4"/>
    <x v="0"/>
    <s v="Cash"/>
    <x v="3"/>
    <x v="5"/>
    <x v="0"/>
    <x v="0"/>
  </r>
  <r>
    <n v="100007"/>
    <x v="6"/>
    <x v="5"/>
    <x v="0"/>
    <x v="1"/>
    <n v="1"/>
    <x v="0"/>
    <x v="0"/>
    <s v="Cash"/>
    <x v="1"/>
    <x v="4"/>
    <x v="0"/>
    <x v="0"/>
  </r>
  <r>
    <n v="100008"/>
    <x v="7"/>
    <x v="3"/>
    <x v="4"/>
    <x v="0"/>
    <n v="3"/>
    <x v="1"/>
    <x v="0"/>
    <s v="Card"/>
    <x v="0"/>
    <x v="6"/>
    <x v="0"/>
    <x v="0"/>
  </r>
  <r>
    <n v="100009"/>
    <x v="8"/>
    <x v="3"/>
    <x v="3"/>
    <x v="0"/>
    <n v="1"/>
    <x v="5"/>
    <x v="0"/>
    <s v="UPI"/>
    <x v="0"/>
    <x v="7"/>
    <x v="0"/>
    <x v="0"/>
  </r>
  <r>
    <n v="100010"/>
    <x v="9"/>
    <x v="6"/>
    <x v="3"/>
    <x v="0"/>
    <n v="5"/>
    <x v="6"/>
    <x v="0"/>
    <s v="Cash"/>
    <x v="0"/>
    <x v="8"/>
    <x v="0"/>
    <x v="0"/>
  </r>
  <r>
    <n v="100011"/>
    <x v="10"/>
    <x v="4"/>
    <x v="0"/>
    <x v="1"/>
    <n v="1"/>
    <x v="5"/>
    <x v="0"/>
    <s v="Cash"/>
    <x v="0"/>
    <x v="7"/>
    <x v="0"/>
    <x v="0"/>
  </r>
  <r>
    <n v="100012"/>
    <x v="11"/>
    <x v="7"/>
    <x v="1"/>
    <x v="1"/>
    <n v="4"/>
    <x v="7"/>
    <x v="0"/>
    <s v="UPI"/>
    <x v="4"/>
    <x v="9"/>
    <x v="0"/>
    <x v="0"/>
  </r>
  <r>
    <n v="100013"/>
    <x v="12"/>
    <x v="8"/>
    <x v="2"/>
    <x v="0"/>
    <n v="3"/>
    <x v="6"/>
    <x v="0"/>
    <s v="NetBanking"/>
    <x v="1"/>
    <x v="10"/>
    <x v="0"/>
    <x v="0"/>
  </r>
  <r>
    <n v="100014"/>
    <x v="13"/>
    <x v="9"/>
    <x v="1"/>
    <x v="1"/>
    <n v="5"/>
    <x v="0"/>
    <x v="0"/>
    <s v="Card"/>
    <x v="5"/>
    <x v="0"/>
    <x v="0"/>
    <x v="0"/>
  </r>
  <r>
    <n v="100015"/>
    <x v="14"/>
    <x v="10"/>
    <x v="5"/>
    <x v="0"/>
    <n v="1"/>
    <x v="8"/>
    <x v="0"/>
    <s v="Cash"/>
    <x v="1"/>
    <x v="11"/>
    <x v="0"/>
    <x v="0"/>
  </r>
  <r>
    <n v="100016"/>
    <x v="15"/>
    <x v="8"/>
    <x v="2"/>
    <x v="0"/>
    <n v="5"/>
    <x v="9"/>
    <x v="0"/>
    <s v="NetBanking"/>
    <x v="0"/>
    <x v="12"/>
    <x v="0"/>
    <x v="0"/>
  </r>
  <r>
    <n v="100017"/>
    <x v="16"/>
    <x v="11"/>
    <x v="4"/>
    <x v="1"/>
    <n v="4"/>
    <x v="0"/>
    <x v="0"/>
    <s v="NetBanking"/>
    <x v="1"/>
    <x v="13"/>
    <x v="0"/>
    <x v="0"/>
  </r>
  <r>
    <n v="100018"/>
    <x v="17"/>
    <x v="9"/>
    <x v="0"/>
    <x v="0"/>
    <n v="5"/>
    <x v="9"/>
    <x v="0"/>
    <s v="UPI"/>
    <x v="1"/>
    <x v="12"/>
    <x v="0"/>
    <x v="0"/>
  </r>
  <r>
    <n v="100019"/>
    <x v="18"/>
    <x v="9"/>
    <x v="6"/>
    <x v="1"/>
    <n v="2"/>
    <x v="8"/>
    <x v="0"/>
    <s v="UPI"/>
    <x v="5"/>
    <x v="14"/>
    <x v="0"/>
    <x v="0"/>
  </r>
  <r>
    <n v="100020"/>
    <x v="19"/>
    <x v="12"/>
    <x v="3"/>
    <x v="0"/>
    <n v="4"/>
    <x v="10"/>
    <x v="0"/>
    <s v="UPI"/>
    <x v="4"/>
    <x v="15"/>
    <x v="0"/>
    <x v="0"/>
  </r>
  <r>
    <n v="100021"/>
    <x v="20"/>
    <x v="13"/>
    <x v="1"/>
    <x v="0"/>
    <n v="4"/>
    <x v="0"/>
    <x v="0"/>
    <s v="Cash"/>
    <x v="1"/>
    <x v="13"/>
    <x v="0"/>
    <x v="0"/>
  </r>
  <r>
    <n v="100022"/>
    <x v="21"/>
    <x v="14"/>
    <x v="4"/>
    <x v="0"/>
    <n v="3"/>
    <x v="9"/>
    <x v="0"/>
    <s v="NetBanking"/>
    <x v="2"/>
    <x v="16"/>
    <x v="0"/>
    <x v="0"/>
  </r>
  <r>
    <n v="100023"/>
    <x v="22"/>
    <x v="2"/>
    <x v="3"/>
    <x v="1"/>
    <n v="3"/>
    <x v="2"/>
    <x v="1"/>
    <s v="Cash"/>
    <x v="2"/>
    <x v="10"/>
    <x v="0"/>
    <x v="0"/>
  </r>
  <r>
    <n v="100024"/>
    <x v="23"/>
    <x v="2"/>
    <x v="4"/>
    <x v="0"/>
    <n v="3"/>
    <x v="3"/>
    <x v="0"/>
    <s v="Cash"/>
    <x v="0"/>
    <x v="3"/>
    <x v="0"/>
    <x v="0"/>
  </r>
  <r>
    <n v="100025"/>
    <x v="24"/>
    <x v="5"/>
    <x v="0"/>
    <x v="0"/>
    <n v="2"/>
    <x v="3"/>
    <x v="0"/>
    <s v="UPI"/>
    <x v="3"/>
    <x v="17"/>
    <x v="0"/>
    <x v="0"/>
  </r>
  <r>
    <n v="100026"/>
    <x v="25"/>
    <x v="9"/>
    <x v="4"/>
    <x v="0"/>
    <n v="5"/>
    <x v="1"/>
    <x v="0"/>
    <s v="Cash"/>
    <x v="2"/>
    <x v="1"/>
    <x v="0"/>
    <x v="0"/>
  </r>
  <r>
    <n v="100027"/>
    <x v="26"/>
    <x v="1"/>
    <x v="4"/>
    <x v="0"/>
    <n v="2"/>
    <x v="10"/>
    <x v="0"/>
    <s v="Card"/>
    <x v="5"/>
    <x v="18"/>
    <x v="0"/>
    <x v="0"/>
  </r>
  <r>
    <n v="100028"/>
    <x v="27"/>
    <x v="7"/>
    <x v="5"/>
    <x v="0"/>
    <n v="1"/>
    <x v="6"/>
    <x v="0"/>
    <s v="UPI"/>
    <x v="1"/>
    <x v="19"/>
    <x v="0"/>
    <x v="0"/>
  </r>
  <r>
    <n v="100029"/>
    <x v="28"/>
    <x v="15"/>
    <x v="6"/>
    <x v="0"/>
    <n v="1"/>
    <x v="8"/>
    <x v="0"/>
    <s v="UPI"/>
    <x v="5"/>
    <x v="11"/>
    <x v="0"/>
    <x v="0"/>
  </r>
  <r>
    <n v="100030"/>
    <x v="29"/>
    <x v="5"/>
    <x v="4"/>
    <x v="0"/>
    <n v="3"/>
    <x v="5"/>
    <x v="0"/>
    <s v="UPI"/>
    <x v="5"/>
    <x v="20"/>
    <x v="0"/>
    <x v="0"/>
  </r>
  <r>
    <n v="100031"/>
    <x v="30"/>
    <x v="0"/>
    <x v="2"/>
    <x v="0"/>
    <n v="2"/>
    <x v="6"/>
    <x v="0"/>
    <s v="UPI"/>
    <x v="4"/>
    <x v="21"/>
    <x v="0"/>
    <x v="0"/>
  </r>
  <r>
    <n v="100032"/>
    <x v="31"/>
    <x v="16"/>
    <x v="4"/>
    <x v="0"/>
    <n v="2"/>
    <x v="2"/>
    <x v="1"/>
    <s v="UPI"/>
    <x v="4"/>
    <x v="22"/>
    <x v="0"/>
    <x v="0"/>
  </r>
  <r>
    <n v="100033"/>
    <x v="32"/>
    <x v="0"/>
    <x v="4"/>
    <x v="0"/>
    <n v="3"/>
    <x v="4"/>
    <x v="0"/>
    <s v="NetBanking"/>
    <x v="2"/>
    <x v="23"/>
    <x v="0"/>
    <x v="0"/>
  </r>
  <r>
    <n v="100034"/>
    <x v="33"/>
    <x v="17"/>
    <x v="0"/>
    <x v="0"/>
    <n v="1"/>
    <x v="7"/>
    <x v="0"/>
    <s v="NetBanking"/>
    <x v="2"/>
    <x v="21"/>
    <x v="0"/>
    <x v="0"/>
  </r>
  <r>
    <n v="100035"/>
    <x v="34"/>
    <x v="6"/>
    <x v="4"/>
    <x v="0"/>
    <n v="3"/>
    <x v="8"/>
    <x v="0"/>
    <s v="Cash"/>
    <x v="0"/>
    <x v="24"/>
    <x v="0"/>
    <x v="0"/>
  </r>
  <r>
    <n v="100036"/>
    <x v="35"/>
    <x v="18"/>
    <x v="5"/>
    <x v="1"/>
    <n v="3"/>
    <x v="4"/>
    <x v="0"/>
    <s v="Cash"/>
    <x v="2"/>
    <x v="23"/>
    <x v="0"/>
    <x v="0"/>
  </r>
  <r>
    <n v="100037"/>
    <x v="36"/>
    <x v="17"/>
    <x v="6"/>
    <x v="0"/>
    <n v="5"/>
    <x v="10"/>
    <x v="0"/>
    <s v="UPI"/>
    <x v="2"/>
    <x v="25"/>
    <x v="0"/>
    <x v="0"/>
  </r>
  <r>
    <n v="100038"/>
    <x v="37"/>
    <x v="16"/>
    <x v="0"/>
    <x v="1"/>
    <n v="5"/>
    <x v="1"/>
    <x v="0"/>
    <s v="UPI"/>
    <x v="3"/>
    <x v="1"/>
    <x v="0"/>
    <x v="0"/>
  </r>
  <r>
    <n v="100039"/>
    <x v="38"/>
    <x v="8"/>
    <x v="5"/>
    <x v="1"/>
    <n v="3"/>
    <x v="3"/>
    <x v="0"/>
    <s v="UPI"/>
    <x v="6"/>
    <x v="3"/>
    <x v="0"/>
    <x v="0"/>
  </r>
  <r>
    <n v="100040"/>
    <x v="39"/>
    <x v="1"/>
    <x v="3"/>
    <x v="1"/>
    <n v="3"/>
    <x v="5"/>
    <x v="0"/>
    <s v="UPI"/>
    <x v="4"/>
    <x v="20"/>
    <x v="0"/>
    <x v="0"/>
  </r>
  <r>
    <n v="100041"/>
    <x v="40"/>
    <x v="2"/>
    <x v="2"/>
    <x v="1"/>
    <n v="2"/>
    <x v="2"/>
    <x v="1"/>
    <s v="UPI"/>
    <x v="5"/>
    <x v="26"/>
    <x v="0"/>
    <x v="0"/>
  </r>
  <r>
    <n v="100042"/>
    <x v="41"/>
    <x v="0"/>
    <x v="2"/>
    <x v="0"/>
    <n v="5"/>
    <x v="9"/>
    <x v="0"/>
    <s v="NetBanking"/>
    <x v="1"/>
    <x v="12"/>
    <x v="0"/>
    <x v="0"/>
  </r>
  <r>
    <n v="100043"/>
    <x v="42"/>
    <x v="9"/>
    <x v="3"/>
    <x v="0"/>
    <n v="5"/>
    <x v="5"/>
    <x v="0"/>
    <s v="Cash"/>
    <x v="0"/>
    <x v="14"/>
    <x v="0"/>
    <x v="0"/>
  </r>
  <r>
    <n v="100044"/>
    <x v="43"/>
    <x v="4"/>
    <x v="4"/>
    <x v="0"/>
    <n v="4"/>
    <x v="3"/>
    <x v="0"/>
    <s v="Card"/>
    <x v="5"/>
    <x v="2"/>
    <x v="0"/>
    <x v="0"/>
  </r>
  <r>
    <n v="100045"/>
    <x v="44"/>
    <x v="2"/>
    <x v="6"/>
    <x v="1"/>
    <n v="3"/>
    <x v="6"/>
    <x v="0"/>
    <s v="UPI"/>
    <x v="5"/>
    <x v="10"/>
    <x v="0"/>
    <x v="0"/>
  </r>
  <r>
    <n v="100046"/>
    <x v="45"/>
    <x v="7"/>
    <x v="6"/>
    <x v="0"/>
    <n v="4"/>
    <x v="9"/>
    <x v="0"/>
    <s v="NetBanking"/>
    <x v="5"/>
    <x v="27"/>
    <x v="0"/>
    <x v="0"/>
  </r>
  <r>
    <n v="100047"/>
    <x v="46"/>
    <x v="18"/>
    <x v="6"/>
    <x v="1"/>
    <n v="3"/>
    <x v="4"/>
    <x v="0"/>
    <s v="Card"/>
    <x v="0"/>
    <x v="23"/>
    <x v="0"/>
    <x v="0"/>
  </r>
  <r>
    <n v="100048"/>
    <x v="47"/>
    <x v="12"/>
    <x v="6"/>
    <x v="0"/>
    <n v="5"/>
    <x v="1"/>
    <x v="0"/>
    <s v="Cash"/>
    <x v="5"/>
    <x v="1"/>
    <x v="0"/>
    <x v="0"/>
  </r>
  <r>
    <n v="100049"/>
    <x v="48"/>
    <x v="6"/>
    <x v="5"/>
    <x v="1"/>
    <n v="2"/>
    <x v="8"/>
    <x v="0"/>
    <s v="Cash"/>
    <x v="4"/>
    <x v="14"/>
    <x v="0"/>
    <x v="0"/>
  </r>
  <r>
    <n v="100050"/>
    <x v="49"/>
    <x v="17"/>
    <x v="4"/>
    <x v="1"/>
    <n v="3"/>
    <x v="4"/>
    <x v="0"/>
    <s v="Cash"/>
    <x v="6"/>
    <x v="23"/>
    <x v="0"/>
    <x v="0"/>
  </r>
  <r>
    <n v="100051"/>
    <x v="50"/>
    <x v="4"/>
    <x v="3"/>
    <x v="0"/>
    <n v="3"/>
    <x v="2"/>
    <x v="1"/>
    <s v="Cash"/>
    <x v="3"/>
    <x v="10"/>
    <x v="0"/>
    <x v="0"/>
  </r>
  <r>
    <n v="100052"/>
    <x v="51"/>
    <x v="6"/>
    <x v="5"/>
    <x v="1"/>
    <n v="3"/>
    <x v="2"/>
    <x v="1"/>
    <s v="Card"/>
    <x v="4"/>
    <x v="24"/>
    <x v="0"/>
    <x v="0"/>
  </r>
  <r>
    <n v="100053"/>
    <x v="52"/>
    <x v="8"/>
    <x v="5"/>
    <x v="0"/>
    <n v="4"/>
    <x v="9"/>
    <x v="0"/>
    <s v="Cash"/>
    <x v="4"/>
    <x v="27"/>
    <x v="0"/>
    <x v="0"/>
  </r>
  <r>
    <n v="100054"/>
    <x v="53"/>
    <x v="10"/>
    <x v="3"/>
    <x v="1"/>
    <n v="4"/>
    <x v="10"/>
    <x v="0"/>
    <s v="Card"/>
    <x v="4"/>
    <x v="15"/>
    <x v="0"/>
    <x v="0"/>
  </r>
  <r>
    <n v="100055"/>
    <x v="54"/>
    <x v="13"/>
    <x v="2"/>
    <x v="1"/>
    <n v="3"/>
    <x v="5"/>
    <x v="0"/>
    <s v="Card"/>
    <x v="0"/>
    <x v="20"/>
    <x v="0"/>
    <x v="0"/>
  </r>
  <r>
    <n v="100056"/>
    <x v="55"/>
    <x v="6"/>
    <x v="3"/>
    <x v="1"/>
    <n v="2"/>
    <x v="1"/>
    <x v="0"/>
    <s v="Card"/>
    <x v="1"/>
    <x v="28"/>
    <x v="0"/>
    <x v="0"/>
  </r>
  <r>
    <n v="100057"/>
    <x v="56"/>
    <x v="17"/>
    <x v="6"/>
    <x v="0"/>
    <n v="1"/>
    <x v="10"/>
    <x v="0"/>
    <s v="UPI"/>
    <x v="1"/>
    <x v="29"/>
    <x v="0"/>
    <x v="0"/>
  </r>
  <r>
    <n v="100058"/>
    <x v="57"/>
    <x v="9"/>
    <x v="4"/>
    <x v="0"/>
    <n v="1"/>
    <x v="9"/>
    <x v="0"/>
    <s v="UPI"/>
    <x v="3"/>
    <x v="30"/>
    <x v="0"/>
    <x v="0"/>
  </r>
  <r>
    <n v="100059"/>
    <x v="58"/>
    <x v="8"/>
    <x v="5"/>
    <x v="1"/>
    <n v="5"/>
    <x v="10"/>
    <x v="0"/>
    <s v="Card"/>
    <x v="1"/>
    <x v="25"/>
    <x v="0"/>
    <x v="0"/>
  </r>
  <r>
    <n v="100060"/>
    <x v="59"/>
    <x v="13"/>
    <x v="0"/>
    <x v="1"/>
    <n v="4"/>
    <x v="10"/>
    <x v="0"/>
    <s v="UPI"/>
    <x v="4"/>
    <x v="15"/>
    <x v="0"/>
    <x v="0"/>
  </r>
  <r>
    <n v="100061"/>
    <x v="60"/>
    <x v="6"/>
    <x v="0"/>
    <x v="0"/>
    <n v="2"/>
    <x v="0"/>
    <x v="0"/>
    <s v="NetBanking"/>
    <x v="5"/>
    <x v="31"/>
    <x v="0"/>
    <x v="0"/>
  </r>
  <r>
    <n v="100062"/>
    <x v="61"/>
    <x v="18"/>
    <x v="6"/>
    <x v="0"/>
    <n v="5"/>
    <x v="8"/>
    <x v="0"/>
    <s v="UPI"/>
    <x v="1"/>
    <x v="32"/>
    <x v="0"/>
    <x v="0"/>
  </r>
  <r>
    <n v="100063"/>
    <x v="62"/>
    <x v="14"/>
    <x v="1"/>
    <x v="0"/>
    <n v="3"/>
    <x v="8"/>
    <x v="0"/>
    <s v="UPI"/>
    <x v="4"/>
    <x v="24"/>
    <x v="0"/>
    <x v="0"/>
  </r>
  <r>
    <n v="100064"/>
    <x v="63"/>
    <x v="2"/>
    <x v="2"/>
    <x v="0"/>
    <n v="3"/>
    <x v="10"/>
    <x v="0"/>
    <s v="NetBanking"/>
    <x v="2"/>
    <x v="33"/>
    <x v="0"/>
    <x v="0"/>
  </r>
  <r>
    <n v="100065"/>
    <x v="64"/>
    <x v="4"/>
    <x v="5"/>
    <x v="1"/>
    <n v="5"/>
    <x v="9"/>
    <x v="0"/>
    <s v="Cash"/>
    <x v="6"/>
    <x v="12"/>
    <x v="0"/>
    <x v="0"/>
  </r>
  <r>
    <n v="100066"/>
    <x v="65"/>
    <x v="18"/>
    <x v="0"/>
    <x v="0"/>
    <n v="3"/>
    <x v="10"/>
    <x v="0"/>
    <s v="NetBanking"/>
    <x v="5"/>
    <x v="33"/>
    <x v="0"/>
    <x v="0"/>
  </r>
  <r>
    <n v="100067"/>
    <x v="66"/>
    <x v="4"/>
    <x v="1"/>
    <x v="0"/>
    <n v="2"/>
    <x v="3"/>
    <x v="0"/>
    <s v="UPI"/>
    <x v="3"/>
    <x v="17"/>
    <x v="0"/>
    <x v="0"/>
  </r>
  <r>
    <n v="100068"/>
    <x v="67"/>
    <x v="14"/>
    <x v="6"/>
    <x v="1"/>
    <n v="4"/>
    <x v="9"/>
    <x v="0"/>
    <s v="NetBanking"/>
    <x v="0"/>
    <x v="27"/>
    <x v="0"/>
    <x v="0"/>
  </r>
  <r>
    <n v="100069"/>
    <x v="68"/>
    <x v="19"/>
    <x v="5"/>
    <x v="0"/>
    <n v="4"/>
    <x v="5"/>
    <x v="0"/>
    <s v="Cash"/>
    <x v="2"/>
    <x v="34"/>
    <x v="0"/>
    <x v="0"/>
  </r>
  <r>
    <n v="100070"/>
    <x v="69"/>
    <x v="17"/>
    <x v="5"/>
    <x v="0"/>
    <n v="5"/>
    <x v="0"/>
    <x v="0"/>
    <s v="Card"/>
    <x v="1"/>
    <x v="0"/>
    <x v="0"/>
    <x v="0"/>
  </r>
  <r>
    <n v="100071"/>
    <x v="70"/>
    <x v="2"/>
    <x v="5"/>
    <x v="0"/>
    <n v="5"/>
    <x v="1"/>
    <x v="0"/>
    <s v="Cash"/>
    <x v="5"/>
    <x v="1"/>
    <x v="0"/>
    <x v="0"/>
  </r>
  <r>
    <n v="100072"/>
    <x v="71"/>
    <x v="19"/>
    <x v="4"/>
    <x v="0"/>
    <n v="4"/>
    <x v="10"/>
    <x v="0"/>
    <s v="Cash"/>
    <x v="2"/>
    <x v="15"/>
    <x v="0"/>
    <x v="0"/>
  </r>
  <r>
    <n v="100073"/>
    <x v="72"/>
    <x v="16"/>
    <x v="0"/>
    <x v="0"/>
    <n v="1"/>
    <x v="3"/>
    <x v="0"/>
    <s v="UPI"/>
    <x v="3"/>
    <x v="35"/>
    <x v="0"/>
    <x v="0"/>
  </r>
  <r>
    <n v="100074"/>
    <x v="73"/>
    <x v="2"/>
    <x v="6"/>
    <x v="1"/>
    <n v="4"/>
    <x v="2"/>
    <x v="1"/>
    <s v="UPI"/>
    <x v="6"/>
    <x v="15"/>
    <x v="0"/>
    <x v="0"/>
  </r>
  <r>
    <n v="100075"/>
    <x v="74"/>
    <x v="19"/>
    <x v="0"/>
    <x v="0"/>
    <n v="4"/>
    <x v="4"/>
    <x v="0"/>
    <s v="NetBanking"/>
    <x v="5"/>
    <x v="36"/>
    <x v="0"/>
    <x v="0"/>
  </r>
  <r>
    <n v="100076"/>
    <x v="75"/>
    <x v="11"/>
    <x v="4"/>
    <x v="0"/>
    <n v="5"/>
    <x v="6"/>
    <x v="0"/>
    <s v="Cash"/>
    <x v="2"/>
    <x v="8"/>
    <x v="0"/>
    <x v="0"/>
  </r>
  <r>
    <n v="100077"/>
    <x v="76"/>
    <x v="0"/>
    <x v="3"/>
    <x v="1"/>
    <n v="3"/>
    <x v="5"/>
    <x v="0"/>
    <s v="UPI"/>
    <x v="5"/>
    <x v="20"/>
    <x v="0"/>
    <x v="0"/>
  </r>
  <r>
    <n v="100078"/>
    <x v="77"/>
    <x v="16"/>
    <x v="3"/>
    <x v="1"/>
    <n v="4"/>
    <x v="3"/>
    <x v="0"/>
    <s v="Cash"/>
    <x v="2"/>
    <x v="2"/>
    <x v="0"/>
    <x v="0"/>
  </r>
  <r>
    <n v="100079"/>
    <x v="78"/>
    <x v="11"/>
    <x v="4"/>
    <x v="0"/>
    <n v="5"/>
    <x v="4"/>
    <x v="0"/>
    <s v="Card"/>
    <x v="0"/>
    <x v="31"/>
    <x v="0"/>
    <x v="0"/>
  </r>
  <r>
    <n v="100080"/>
    <x v="79"/>
    <x v="9"/>
    <x v="4"/>
    <x v="0"/>
    <n v="4"/>
    <x v="4"/>
    <x v="0"/>
    <s v="Card"/>
    <x v="6"/>
    <x v="36"/>
    <x v="0"/>
    <x v="0"/>
  </r>
  <r>
    <n v="100081"/>
    <x v="80"/>
    <x v="4"/>
    <x v="3"/>
    <x v="1"/>
    <n v="2"/>
    <x v="7"/>
    <x v="0"/>
    <s v="Cash"/>
    <x v="3"/>
    <x v="26"/>
    <x v="0"/>
    <x v="0"/>
  </r>
  <r>
    <n v="100082"/>
    <x v="81"/>
    <x v="3"/>
    <x v="4"/>
    <x v="0"/>
    <n v="3"/>
    <x v="0"/>
    <x v="0"/>
    <s v="Cash"/>
    <x v="5"/>
    <x v="37"/>
    <x v="0"/>
    <x v="0"/>
  </r>
  <r>
    <n v="100083"/>
    <x v="82"/>
    <x v="5"/>
    <x v="5"/>
    <x v="0"/>
    <n v="5"/>
    <x v="7"/>
    <x v="0"/>
    <s v="Card"/>
    <x v="4"/>
    <x v="38"/>
    <x v="0"/>
    <x v="0"/>
  </r>
  <r>
    <n v="100084"/>
    <x v="83"/>
    <x v="12"/>
    <x v="4"/>
    <x v="0"/>
    <n v="2"/>
    <x v="9"/>
    <x v="0"/>
    <s v="Card"/>
    <x v="5"/>
    <x v="22"/>
    <x v="0"/>
    <x v="0"/>
  </r>
  <r>
    <n v="100085"/>
    <x v="84"/>
    <x v="4"/>
    <x v="4"/>
    <x v="1"/>
    <n v="2"/>
    <x v="8"/>
    <x v="0"/>
    <s v="UPI"/>
    <x v="4"/>
    <x v="14"/>
    <x v="0"/>
    <x v="0"/>
  </r>
  <r>
    <n v="100086"/>
    <x v="85"/>
    <x v="7"/>
    <x v="3"/>
    <x v="1"/>
    <n v="5"/>
    <x v="8"/>
    <x v="0"/>
    <s v="Card"/>
    <x v="1"/>
    <x v="32"/>
    <x v="0"/>
    <x v="0"/>
  </r>
  <r>
    <n v="100087"/>
    <x v="86"/>
    <x v="7"/>
    <x v="3"/>
    <x v="0"/>
    <n v="5"/>
    <x v="3"/>
    <x v="0"/>
    <s v="Cash"/>
    <x v="6"/>
    <x v="10"/>
    <x v="0"/>
    <x v="0"/>
  </r>
  <r>
    <n v="100088"/>
    <x v="87"/>
    <x v="11"/>
    <x v="1"/>
    <x v="0"/>
    <n v="2"/>
    <x v="3"/>
    <x v="0"/>
    <s v="UPI"/>
    <x v="6"/>
    <x v="17"/>
    <x v="0"/>
    <x v="0"/>
  </r>
  <r>
    <n v="100089"/>
    <x v="88"/>
    <x v="15"/>
    <x v="0"/>
    <x v="1"/>
    <n v="5"/>
    <x v="4"/>
    <x v="0"/>
    <s v="Cash"/>
    <x v="4"/>
    <x v="31"/>
    <x v="0"/>
    <x v="0"/>
  </r>
  <r>
    <n v="100090"/>
    <x v="89"/>
    <x v="13"/>
    <x v="3"/>
    <x v="0"/>
    <n v="2"/>
    <x v="9"/>
    <x v="0"/>
    <s v="Card"/>
    <x v="1"/>
    <x v="22"/>
    <x v="0"/>
    <x v="0"/>
  </r>
  <r>
    <n v="100091"/>
    <x v="90"/>
    <x v="0"/>
    <x v="0"/>
    <x v="1"/>
    <n v="1"/>
    <x v="10"/>
    <x v="0"/>
    <s v="NetBanking"/>
    <x v="5"/>
    <x v="29"/>
    <x v="0"/>
    <x v="0"/>
  </r>
  <r>
    <n v="100092"/>
    <x v="91"/>
    <x v="16"/>
    <x v="5"/>
    <x v="0"/>
    <n v="3"/>
    <x v="10"/>
    <x v="0"/>
    <s v="Card"/>
    <x v="2"/>
    <x v="33"/>
    <x v="0"/>
    <x v="0"/>
  </r>
  <r>
    <n v="100093"/>
    <x v="92"/>
    <x v="0"/>
    <x v="5"/>
    <x v="0"/>
    <n v="1"/>
    <x v="3"/>
    <x v="0"/>
    <s v="NetBanking"/>
    <x v="4"/>
    <x v="35"/>
    <x v="0"/>
    <x v="0"/>
  </r>
  <r>
    <n v="100094"/>
    <x v="93"/>
    <x v="16"/>
    <x v="3"/>
    <x v="0"/>
    <n v="2"/>
    <x v="5"/>
    <x v="0"/>
    <s v="Card"/>
    <x v="6"/>
    <x v="16"/>
    <x v="0"/>
    <x v="0"/>
  </r>
  <r>
    <n v="100095"/>
    <x v="94"/>
    <x v="4"/>
    <x v="2"/>
    <x v="0"/>
    <n v="5"/>
    <x v="0"/>
    <x v="0"/>
    <s v="Cash"/>
    <x v="2"/>
    <x v="0"/>
    <x v="0"/>
    <x v="0"/>
  </r>
  <r>
    <n v="100096"/>
    <x v="95"/>
    <x v="9"/>
    <x v="0"/>
    <x v="0"/>
    <n v="4"/>
    <x v="2"/>
    <x v="1"/>
    <s v="NetBanking"/>
    <x v="5"/>
    <x v="2"/>
    <x v="0"/>
    <x v="0"/>
  </r>
  <r>
    <n v="100097"/>
    <x v="96"/>
    <x v="8"/>
    <x v="4"/>
    <x v="0"/>
    <n v="3"/>
    <x v="4"/>
    <x v="0"/>
    <s v="NetBanking"/>
    <x v="4"/>
    <x v="23"/>
    <x v="0"/>
    <x v="0"/>
  </r>
  <r>
    <n v="100098"/>
    <x v="97"/>
    <x v="11"/>
    <x v="2"/>
    <x v="0"/>
    <n v="5"/>
    <x v="7"/>
    <x v="0"/>
    <s v="NetBanking"/>
    <x v="1"/>
    <x v="38"/>
    <x v="0"/>
    <x v="0"/>
  </r>
  <r>
    <n v="100099"/>
    <x v="98"/>
    <x v="14"/>
    <x v="1"/>
    <x v="0"/>
    <n v="5"/>
    <x v="8"/>
    <x v="0"/>
    <s v="UPI"/>
    <x v="3"/>
    <x v="32"/>
    <x v="0"/>
    <x v="0"/>
  </r>
  <r>
    <n v="100100"/>
    <x v="99"/>
    <x v="15"/>
    <x v="3"/>
    <x v="0"/>
    <n v="2"/>
    <x v="0"/>
    <x v="0"/>
    <s v="UPI"/>
    <x v="5"/>
    <x v="31"/>
    <x v="0"/>
    <x v="0"/>
  </r>
  <r>
    <n v="100101"/>
    <x v="100"/>
    <x v="7"/>
    <x v="3"/>
    <x v="0"/>
    <n v="2"/>
    <x v="1"/>
    <x v="0"/>
    <s v="Card"/>
    <x v="1"/>
    <x v="28"/>
    <x v="0"/>
    <x v="0"/>
  </r>
  <r>
    <n v="100102"/>
    <x v="101"/>
    <x v="9"/>
    <x v="1"/>
    <x v="0"/>
    <n v="3"/>
    <x v="6"/>
    <x v="0"/>
    <s v="UPI"/>
    <x v="4"/>
    <x v="10"/>
    <x v="0"/>
    <x v="0"/>
  </r>
  <r>
    <n v="100103"/>
    <x v="102"/>
    <x v="4"/>
    <x v="2"/>
    <x v="0"/>
    <n v="2"/>
    <x v="5"/>
    <x v="0"/>
    <s v="Card"/>
    <x v="1"/>
    <x v="16"/>
    <x v="0"/>
    <x v="0"/>
  </r>
  <r>
    <n v="100104"/>
    <x v="103"/>
    <x v="7"/>
    <x v="6"/>
    <x v="1"/>
    <n v="3"/>
    <x v="9"/>
    <x v="0"/>
    <s v="Cash"/>
    <x v="4"/>
    <x v="16"/>
    <x v="0"/>
    <x v="0"/>
  </r>
  <r>
    <n v="100105"/>
    <x v="104"/>
    <x v="11"/>
    <x v="5"/>
    <x v="1"/>
    <n v="4"/>
    <x v="1"/>
    <x v="0"/>
    <s v="NetBanking"/>
    <x v="3"/>
    <x v="39"/>
    <x v="0"/>
    <x v="0"/>
  </r>
  <r>
    <n v="100106"/>
    <x v="105"/>
    <x v="7"/>
    <x v="4"/>
    <x v="0"/>
    <n v="4"/>
    <x v="7"/>
    <x v="0"/>
    <s v="UPI"/>
    <x v="1"/>
    <x v="9"/>
    <x v="0"/>
    <x v="0"/>
  </r>
  <r>
    <n v="100107"/>
    <x v="106"/>
    <x v="15"/>
    <x v="0"/>
    <x v="0"/>
    <n v="4"/>
    <x v="0"/>
    <x v="0"/>
    <s v="NetBanking"/>
    <x v="3"/>
    <x v="13"/>
    <x v="0"/>
    <x v="0"/>
  </r>
  <r>
    <n v="100108"/>
    <x v="107"/>
    <x v="2"/>
    <x v="2"/>
    <x v="0"/>
    <n v="1"/>
    <x v="8"/>
    <x v="0"/>
    <s v="UPI"/>
    <x v="4"/>
    <x v="11"/>
    <x v="0"/>
    <x v="0"/>
  </r>
  <r>
    <n v="100109"/>
    <x v="108"/>
    <x v="18"/>
    <x v="0"/>
    <x v="0"/>
    <n v="4"/>
    <x v="6"/>
    <x v="0"/>
    <s v="Cash"/>
    <x v="4"/>
    <x v="26"/>
    <x v="0"/>
    <x v="0"/>
  </r>
  <r>
    <n v="100110"/>
    <x v="109"/>
    <x v="7"/>
    <x v="3"/>
    <x v="1"/>
    <n v="3"/>
    <x v="3"/>
    <x v="0"/>
    <s v="Card"/>
    <x v="2"/>
    <x v="3"/>
    <x v="0"/>
    <x v="0"/>
  </r>
  <r>
    <n v="100111"/>
    <x v="110"/>
    <x v="11"/>
    <x v="6"/>
    <x v="1"/>
    <n v="2"/>
    <x v="3"/>
    <x v="0"/>
    <s v="NetBanking"/>
    <x v="0"/>
    <x v="17"/>
    <x v="0"/>
    <x v="0"/>
  </r>
  <r>
    <n v="100112"/>
    <x v="111"/>
    <x v="15"/>
    <x v="1"/>
    <x v="0"/>
    <n v="4"/>
    <x v="3"/>
    <x v="0"/>
    <s v="NetBanking"/>
    <x v="4"/>
    <x v="2"/>
    <x v="0"/>
    <x v="0"/>
  </r>
  <r>
    <n v="100113"/>
    <x v="112"/>
    <x v="18"/>
    <x v="6"/>
    <x v="0"/>
    <n v="4"/>
    <x v="5"/>
    <x v="0"/>
    <s v="NetBanking"/>
    <x v="0"/>
    <x v="34"/>
    <x v="0"/>
    <x v="0"/>
  </r>
  <r>
    <n v="100114"/>
    <x v="113"/>
    <x v="0"/>
    <x v="0"/>
    <x v="0"/>
    <n v="3"/>
    <x v="9"/>
    <x v="0"/>
    <s v="Card"/>
    <x v="2"/>
    <x v="16"/>
    <x v="0"/>
    <x v="0"/>
  </r>
  <r>
    <n v="100115"/>
    <x v="114"/>
    <x v="16"/>
    <x v="1"/>
    <x v="0"/>
    <n v="5"/>
    <x v="8"/>
    <x v="0"/>
    <s v="NetBanking"/>
    <x v="3"/>
    <x v="32"/>
    <x v="0"/>
    <x v="0"/>
  </r>
  <r>
    <n v="100116"/>
    <x v="115"/>
    <x v="2"/>
    <x v="5"/>
    <x v="0"/>
    <n v="5"/>
    <x v="1"/>
    <x v="0"/>
    <s v="Card"/>
    <x v="4"/>
    <x v="1"/>
    <x v="0"/>
    <x v="0"/>
  </r>
  <r>
    <n v="100117"/>
    <x v="116"/>
    <x v="2"/>
    <x v="3"/>
    <x v="1"/>
    <n v="1"/>
    <x v="0"/>
    <x v="0"/>
    <s v="NetBanking"/>
    <x v="1"/>
    <x v="4"/>
    <x v="0"/>
    <x v="0"/>
  </r>
  <r>
    <n v="100118"/>
    <x v="117"/>
    <x v="13"/>
    <x v="1"/>
    <x v="0"/>
    <n v="4"/>
    <x v="1"/>
    <x v="0"/>
    <s v="Card"/>
    <x v="6"/>
    <x v="39"/>
    <x v="0"/>
    <x v="0"/>
  </r>
  <r>
    <n v="100119"/>
    <x v="118"/>
    <x v="19"/>
    <x v="5"/>
    <x v="1"/>
    <n v="3"/>
    <x v="5"/>
    <x v="0"/>
    <s v="Cash"/>
    <x v="2"/>
    <x v="20"/>
    <x v="0"/>
    <x v="0"/>
  </r>
  <r>
    <n v="100120"/>
    <x v="119"/>
    <x v="5"/>
    <x v="1"/>
    <x v="1"/>
    <n v="3"/>
    <x v="2"/>
    <x v="1"/>
    <s v="Card"/>
    <x v="4"/>
    <x v="40"/>
    <x v="0"/>
    <x v="0"/>
  </r>
  <r>
    <n v="100121"/>
    <x v="120"/>
    <x v="0"/>
    <x v="6"/>
    <x v="0"/>
    <n v="2"/>
    <x v="5"/>
    <x v="0"/>
    <s v="UPI"/>
    <x v="1"/>
    <x v="16"/>
    <x v="0"/>
    <x v="0"/>
  </r>
  <r>
    <n v="100122"/>
    <x v="121"/>
    <x v="12"/>
    <x v="4"/>
    <x v="0"/>
    <n v="3"/>
    <x v="0"/>
    <x v="0"/>
    <s v="Cash"/>
    <x v="3"/>
    <x v="37"/>
    <x v="0"/>
    <x v="0"/>
  </r>
  <r>
    <n v="100123"/>
    <x v="122"/>
    <x v="1"/>
    <x v="3"/>
    <x v="1"/>
    <n v="3"/>
    <x v="7"/>
    <x v="0"/>
    <s v="Cash"/>
    <x v="1"/>
    <x v="40"/>
    <x v="0"/>
    <x v="0"/>
  </r>
  <r>
    <n v="100124"/>
    <x v="123"/>
    <x v="6"/>
    <x v="2"/>
    <x v="0"/>
    <n v="4"/>
    <x v="5"/>
    <x v="0"/>
    <s v="Card"/>
    <x v="1"/>
    <x v="34"/>
    <x v="0"/>
    <x v="0"/>
  </r>
  <r>
    <n v="100125"/>
    <x v="124"/>
    <x v="15"/>
    <x v="2"/>
    <x v="0"/>
    <n v="3"/>
    <x v="5"/>
    <x v="0"/>
    <s v="Cash"/>
    <x v="3"/>
    <x v="20"/>
    <x v="0"/>
    <x v="0"/>
  </r>
  <r>
    <n v="100126"/>
    <x v="125"/>
    <x v="0"/>
    <x v="2"/>
    <x v="1"/>
    <n v="1"/>
    <x v="3"/>
    <x v="0"/>
    <s v="Card"/>
    <x v="0"/>
    <x v="35"/>
    <x v="0"/>
    <x v="0"/>
  </r>
  <r>
    <n v="100127"/>
    <x v="126"/>
    <x v="19"/>
    <x v="4"/>
    <x v="0"/>
    <n v="5"/>
    <x v="1"/>
    <x v="0"/>
    <s v="UPI"/>
    <x v="0"/>
    <x v="1"/>
    <x v="0"/>
    <x v="0"/>
  </r>
  <r>
    <n v="100128"/>
    <x v="127"/>
    <x v="2"/>
    <x v="3"/>
    <x v="0"/>
    <n v="4"/>
    <x v="0"/>
    <x v="0"/>
    <s v="Card"/>
    <x v="2"/>
    <x v="13"/>
    <x v="0"/>
    <x v="0"/>
  </r>
  <r>
    <n v="100129"/>
    <x v="128"/>
    <x v="3"/>
    <x v="1"/>
    <x v="0"/>
    <n v="5"/>
    <x v="9"/>
    <x v="0"/>
    <s v="NetBanking"/>
    <x v="6"/>
    <x v="12"/>
    <x v="0"/>
    <x v="0"/>
  </r>
  <r>
    <n v="100130"/>
    <x v="129"/>
    <x v="6"/>
    <x v="0"/>
    <x v="1"/>
    <n v="4"/>
    <x v="5"/>
    <x v="0"/>
    <s v="Cash"/>
    <x v="1"/>
    <x v="34"/>
    <x v="0"/>
    <x v="0"/>
  </r>
  <r>
    <n v="100131"/>
    <x v="130"/>
    <x v="19"/>
    <x v="0"/>
    <x v="1"/>
    <n v="5"/>
    <x v="1"/>
    <x v="0"/>
    <s v="NetBanking"/>
    <x v="5"/>
    <x v="1"/>
    <x v="0"/>
    <x v="0"/>
  </r>
  <r>
    <n v="100132"/>
    <x v="131"/>
    <x v="0"/>
    <x v="3"/>
    <x v="0"/>
    <n v="1"/>
    <x v="6"/>
    <x v="0"/>
    <s v="Cash"/>
    <x v="0"/>
    <x v="19"/>
    <x v="0"/>
    <x v="0"/>
  </r>
  <r>
    <n v="100133"/>
    <x v="132"/>
    <x v="5"/>
    <x v="4"/>
    <x v="0"/>
    <n v="5"/>
    <x v="6"/>
    <x v="0"/>
    <s v="Cash"/>
    <x v="5"/>
    <x v="8"/>
    <x v="0"/>
    <x v="0"/>
  </r>
  <r>
    <n v="100134"/>
    <x v="133"/>
    <x v="8"/>
    <x v="3"/>
    <x v="0"/>
    <n v="5"/>
    <x v="0"/>
    <x v="0"/>
    <s v="Card"/>
    <x v="5"/>
    <x v="0"/>
    <x v="0"/>
    <x v="0"/>
  </r>
  <r>
    <n v="100135"/>
    <x v="134"/>
    <x v="13"/>
    <x v="0"/>
    <x v="1"/>
    <n v="3"/>
    <x v="3"/>
    <x v="0"/>
    <s v="Cash"/>
    <x v="2"/>
    <x v="3"/>
    <x v="0"/>
    <x v="0"/>
  </r>
  <r>
    <n v="100136"/>
    <x v="135"/>
    <x v="19"/>
    <x v="3"/>
    <x v="1"/>
    <n v="2"/>
    <x v="1"/>
    <x v="0"/>
    <s v="Card"/>
    <x v="6"/>
    <x v="28"/>
    <x v="0"/>
    <x v="0"/>
  </r>
  <r>
    <n v="100137"/>
    <x v="136"/>
    <x v="10"/>
    <x v="2"/>
    <x v="0"/>
    <n v="2"/>
    <x v="6"/>
    <x v="0"/>
    <s v="NetBanking"/>
    <x v="3"/>
    <x v="21"/>
    <x v="0"/>
    <x v="0"/>
  </r>
  <r>
    <n v="100138"/>
    <x v="137"/>
    <x v="9"/>
    <x v="5"/>
    <x v="1"/>
    <n v="1"/>
    <x v="6"/>
    <x v="0"/>
    <s v="Card"/>
    <x v="0"/>
    <x v="19"/>
    <x v="0"/>
    <x v="0"/>
  </r>
  <r>
    <n v="100139"/>
    <x v="138"/>
    <x v="9"/>
    <x v="1"/>
    <x v="1"/>
    <n v="2"/>
    <x v="8"/>
    <x v="0"/>
    <s v="Cash"/>
    <x v="5"/>
    <x v="14"/>
    <x v="0"/>
    <x v="0"/>
  </r>
  <r>
    <n v="100140"/>
    <x v="139"/>
    <x v="1"/>
    <x v="3"/>
    <x v="0"/>
    <n v="1"/>
    <x v="8"/>
    <x v="0"/>
    <s v="Cash"/>
    <x v="5"/>
    <x v="11"/>
    <x v="0"/>
    <x v="0"/>
  </r>
  <r>
    <n v="100141"/>
    <x v="140"/>
    <x v="3"/>
    <x v="1"/>
    <x v="1"/>
    <n v="1"/>
    <x v="0"/>
    <x v="0"/>
    <s v="Card"/>
    <x v="3"/>
    <x v="4"/>
    <x v="0"/>
    <x v="0"/>
  </r>
  <r>
    <n v="100142"/>
    <x v="141"/>
    <x v="0"/>
    <x v="6"/>
    <x v="0"/>
    <n v="2"/>
    <x v="2"/>
    <x v="1"/>
    <s v="Cash"/>
    <x v="2"/>
    <x v="5"/>
    <x v="0"/>
    <x v="0"/>
  </r>
  <r>
    <n v="100143"/>
    <x v="142"/>
    <x v="11"/>
    <x v="3"/>
    <x v="1"/>
    <n v="5"/>
    <x v="3"/>
    <x v="0"/>
    <s v="NetBanking"/>
    <x v="0"/>
    <x v="10"/>
    <x v="0"/>
    <x v="0"/>
  </r>
  <r>
    <n v="100144"/>
    <x v="143"/>
    <x v="11"/>
    <x v="0"/>
    <x v="0"/>
    <n v="5"/>
    <x v="5"/>
    <x v="0"/>
    <s v="UPI"/>
    <x v="4"/>
    <x v="14"/>
    <x v="0"/>
    <x v="0"/>
  </r>
  <r>
    <n v="100145"/>
    <x v="144"/>
    <x v="1"/>
    <x v="5"/>
    <x v="0"/>
    <n v="5"/>
    <x v="1"/>
    <x v="0"/>
    <s v="Card"/>
    <x v="4"/>
    <x v="1"/>
    <x v="0"/>
    <x v="0"/>
  </r>
  <r>
    <n v="100146"/>
    <x v="145"/>
    <x v="19"/>
    <x v="0"/>
    <x v="1"/>
    <n v="5"/>
    <x v="4"/>
    <x v="0"/>
    <s v="Card"/>
    <x v="6"/>
    <x v="31"/>
    <x v="0"/>
    <x v="0"/>
  </r>
  <r>
    <n v="100147"/>
    <x v="146"/>
    <x v="16"/>
    <x v="5"/>
    <x v="0"/>
    <n v="2"/>
    <x v="0"/>
    <x v="0"/>
    <s v="NetBanking"/>
    <x v="6"/>
    <x v="31"/>
    <x v="0"/>
    <x v="0"/>
  </r>
  <r>
    <n v="100148"/>
    <x v="147"/>
    <x v="7"/>
    <x v="1"/>
    <x v="1"/>
    <n v="1"/>
    <x v="3"/>
    <x v="0"/>
    <s v="UPI"/>
    <x v="1"/>
    <x v="35"/>
    <x v="0"/>
    <x v="0"/>
  </r>
  <r>
    <n v="100149"/>
    <x v="148"/>
    <x v="0"/>
    <x v="0"/>
    <x v="0"/>
    <n v="4"/>
    <x v="9"/>
    <x v="0"/>
    <s v="Cash"/>
    <x v="0"/>
    <x v="27"/>
    <x v="0"/>
    <x v="0"/>
  </r>
  <r>
    <n v="100150"/>
    <x v="149"/>
    <x v="10"/>
    <x v="2"/>
    <x v="0"/>
    <n v="1"/>
    <x v="7"/>
    <x v="0"/>
    <s v="UPI"/>
    <x v="5"/>
    <x v="21"/>
    <x v="0"/>
    <x v="0"/>
  </r>
  <r>
    <n v="100151"/>
    <x v="150"/>
    <x v="4"/>
    <x v="0"/>
    <x v="0"/>
    <n v="1"/>
    <x v="4"/>
    <x v="0"/>
    <s v="Card"/>
    <x v="0"/>
    <x v="41"/>
    <x v="0"/>
    <x v="0"/>
  </r>
  <r>
    <n v="100152"/>
    <x v="151"/>
    <x v="16"/>
    <x v="6"/>
    <x v="0"/>
    <n v="4"/>
    <x v="6"/>
    <x v="0"/>
    <s v="NetBanking"/>
    <x v="5"/>
    <x v="26"/>
    <x v="0"/>
    <x v="0"/>
  </r>
  <r>
    <n v="100153"/>
    <x v="152"/>
    <x v="15"/>
    <x v="3"/>
    <x v="0"/>
    <n v="3"/>
    <x v="0"/>
    <x v="0"/>
    <s v="UPI"/>
    <x v="6"/>
    <x v="37"/>
    <x v="0"/>
    <x v="0"/>
  </r>
  <r>
    <n v="100154"/>
    <x v="153"/>
    <x v="11"/>
    <x v="4"/>
    <x v="0"/>
    <n v="3"/>
    <x v="7"/>
    <x v="0"/>
    <s v="UPI"/>
    <x v="2"/>
    <x v="40"/>
    <x v="0"/>
    <x v="0"/>
  </r>
  <r>
    <n v="100155"/>
    <x v="154"/>
    <x v="5"/>
    <x v="0"/>
    <x v="0"/>
    <n v="5"/>
    <x v="6"/>
    <x v="0"/>
    <s v="Cash"/>
    <x v="0"/>
    <x v="8"/>
    <x v="0"/>
    <x v="0"/>
  </r>
  <r>
    <n v="100156"/>
    <x v="155"/>
    <x v="13"/>
    <x v="3"/>
    <x v="0"/>
    <n v="2"/>
    <x v="5"/>
    <x v="0"/>
    <s v="Card"/>
    <x v="3"/>
    <x v="16"/>
    <x v="0"/>
    <x v="0"/>
  </r>
  <r>
    <n v="100157"/>
    <x v="156"/>
    <x v="9"/>
    <x v="2"/>
    <x v="0"/>
    <n v="3"/>
    <x v="0"/>
    <x v="0"/>
    <s v="NetBanking"/>
    <x v="4"/>
    <x v="37"/>
    <x v="0"/>
    <x v="0"/>
  </r>
  <r>
    <n v="100158"/>
    <x v="157"/>
    <x v="2"/>
    <x v="3"/>
    <x v="0"/>
    <n v="4"/>
    <x v="2"/>
    <x v="1"/>
    <s v="NetBanking"/>
    <x v="3"/>
    <x v="36"/>
    <x v="0"/>
    <x v="0"/>
  </r>
  <r>
    <n v="100159"/>
    <x v="158"/>
    <x v="16"/>
    <x v="0"/>
    <x v="0"/>
    <n v="3"/>
    <x v="4"/>
    <x v="0"/>
    <s v="Cash"/>
    <x v="5"/>
    <x v="23"/>
    <x v="0"/>
    <x v="0"/>
  </r>
  <r>
    <n v="100160"/>
    <x v="159"/>
    <x v="1"/>
    <x v="0"/>
    <x v="0"/>
    <n v="2"/>
    <x v="7"/>
    <x v="0"/>
    <s v="NetBanking"/>
    <x v="6"/>
    <x v="26"/>
    <x v="0"/>
    <x v="0"/>
  </r>
  <r>
    <n v="100161"/>
    <x v="160"/>
    <x v="12"/>
    <x v="1"/>
    <x v="0"/>
    <n v="3"/>
    <x v="5"/>
    <x v="0"/>
    <s v="Card"/>
    <x v="5"/>
    <x v="20"/>
    <x v="0"/>
    <x v="0"/>
  </r>
  <r>
    <n v="100162"/>
    <x v="161"/>
    <x v="12"/>
    <x v="5"/>
    <x v="0"/>
    <n v="1"/>
    <x v="3"/>
    <x v="0"/>
    <s v="Cash"/>
    <x v="1"/>
    <x v="35"/>
    <x v="0"/>
    <x v="0"/>
  </r>
  <r>
    <n v="100163"/>
    <x v="162"/>
    <x v="1"/>
    <x v="0"/>
    <x v="1"/>
    <n v="1"/>
    <x v="7"/>
    <x v="0"/>
    <s v="Cash"/>
    <x v="4"/>
    <x v="21"/>
    <x v="0"/>
    <x v="0"/>
  </r>
  <r>
    <n v="100164"/>
    <x v="163"/>
    <x v="9"/>
    <x v="6"/>
    <x v="0"/>
    <n v="1"/>
    <x v="6"/>
    <x v="0"/>
    <s v="NetBanking"/>
    <x v="0"/>
    <x v="19"/>
    <x v="0"/>
    <x v="0"/>
  </r>
  <r>
    <n v="100165"/>
    <x v="164"/>
    <x v="0"/>
    <x v="3"/>
    <x v="1"/>
    <n v="1"/>
    <x v="6"/>
    <x v="0"/>
    <s v="NetBanking"/>
    <x v="5"/>
    <x v="19"/>
    <x v="0"/>
    <x v="0"/>
  </r>
  <r>
    <n v="100166"/>
    <x v="165"/>
    <x v="8"/>
    <x v="1"/>
    <x v="1"/>
    <n v="1"/>
    <x v="8"/>
    <x v="0"/>
    <s v="Cash"/>
    <x v="4"/>
    <x v="11"/>
    <x v="0"/>
    <x v="0"/>
  </r>
  <r>
    <n v="100167"/>
    <x v="166"/>
    <x v="7"/>
    <x v="5"/>
    <x v="1"/>
    <n v="5"/>
    <x v="5"/>
    <x v="0"/>
    <s v="UPI"/>
    <x v="4"/>
    <x v="14"/>
    <x v="0"/>
    <x v="0"/>
  </r>
  <r>
    <n v="100168"/>
    <x v="167"/>
    <x v="12"/>
    <x v="4"/>
    <x v="0"/>
    <n v="5"/>
    <x v="1"/>
    <x v="0"/>
    <s v="UPI"/>
    <x v="1"/>
    <x v="1"/>
    <x v="0"/>
    <x v="0"/>
  </r>
  <r>
    <n v="100169"/>
    <x v="168"/>
    <x v="15"/>
    <x v="6"/>
    <x v="0"/>
    <n v="5"/>
    <x v="0"/>
    <x v="0"/>
    <s v="UPI"/>
    <x v="0"/>
    <x v="0"/>
    <x v="0"/>
    <x v="0"/>
  </r>
  <r>
    <n v="100170"/>
    <x v="169"/>
    <x v="12"/>
    <x v="4"/>
    <x v="1"/>
    <n v="4"/>
    <x v="1"/>
    <x v="0"/>
    <s v="Card"/>
    <x v="1"/>
    <x v="39"/>
    <x v="0"/>
    <x v="0"/>
  </r>
  <r>
    <n v="100171"/>
    <x v="170"/>
    <x v="12"/>
    <x v="0"/>
    <x v="0"/>
    <n v="4"/>
    <x v="10"/>
    <x v="0"/>
    <s v="Cash"/>
    <x v="4"/>
    <x v="15"/>
    <x v="0"/>
    <x v="0"/>
  </r>
  <r>
    <n v="100172"/>
    <x v="171"/>
    <x v="12"/>
    <x v="4"/>
    <x v="0"/>
    <n v="5"/>
    <x v="7"/>
    <x v="0"/>
    <s v="UPI"/>
    <x v="3"/>
    <x v="38"/>
    <x v="0"/>
    <x v="0"/>
  </r>
  <r>
    <n v="100173"/>
    <x v="172"/>
    <x v="8"/>
    <x v="4"/>
    <x v="1"/>
    <n v="3"/>
    <x v="3"/>
    <x v="0"/>
    <s v="NetBanking"/>
    <x v="6"/>
    <x v="3"/>
    <x v="0"/>
    <x v="0"/>
  </r>
  <r>
    <n v="100174"/>
    <x v="173"/>
    <x v="8"/>
    <x v="6"/>
    <x v="0"/>
    <n v="2"/>
    <x v="10"/>
    <x v="0"/>
    <s v="Cash"/>
    <x v="3"/>
    <x v="18"/>
    <x v="0"/>
    <x v="0"/>
  </r>
  <r>
    <n v="100175"/>
    <x v="174"/>
    <x v="15"/>
    <x v="6"/>
    <x v="0"/>
    <n v="1"/>
    <x v="7"/>
    <x v="0"/>
    <s v="Cash"/>
    <x v="3"/>
    <x v="21"/>
    <x v="0"/>
    <x v="0"/>
  </r>
  <r>
    <n v="100176"/>
    <x v="175"/>
    <x v="11"/>
    <x v="3"/>
    <x v="1"/>
    <n v="3"/>
    <x v="6"/>
    <x v="0"/>
    <s v="NetBanking"/>
    <x v="1"/>
    <x v="10"/>
    <x v="0"/>
    <x v="0"/>
  </r>
  <r>
    <n v="100177"/>
    <x v="176"/>
    <x v="11"/>
    <x v="4"/>
    <x v="1"/>
    <n v="5"/>
    <x v="6"/>
    <x v="0"/>
    <s v="Card"/>
    <x v="3"/>
    <x v="8"/>
    <x v="0"/>
    <x v="0"/>
  </r>
  <r>
    <n v="100178"/>
    <x v="177"/>
    <x v="5"/>
    <x v="6"/>
    <x v="0"/>
    <n v="2"/>
    <x v="3"/>
    <x v="0"/>
    <s v="Cash"/>
    <x v="2"/>
    <x v="17"/>
    <x v="0"/>
    <x v="0"/>
  </r>
  <r>
    <n v="100179"/>
    <x v="178"/>
    <x v="8"/>
    <x v="3"/>
    <x v="0"/>
    <n v="5"/>
    <x v="5"/>
    <x v="0"/>
    <s v="Cash"/>
    <x v="6"/>
    <x v="14"/>
    <x v="0"/>
    <x v="0"/>
  </r>
  <r>
    <n v="100180"/>
    <x v="179"/>
    <x v="9"/>
    <x v="4"/>
    <x v="0"/>
    <n v="5"/>
    <x v="5"/>
    <x v="0"/>
    <s v="Card"/>
    <x v="5"/>
    <x v="14"/>
    <x v="0"/>
    <x v="0"/>
  </r>
  <r>
    <n v="100181"/>
    <x v="180"/>
    <x v="10"/>
    <x v="5"/>
    <x v="1"/>
    <n v="4"/>
    <x v="8"/>
    <x v="0"/>
    <s v="NetBanking"/>
    <x v="1"/>
    <x v="42"/>
    <x v="0"/>
    <x v="0"/>
  </r>
  <r>
    <n v="100182"/>
    <x v="181"/>
    <x v="6"/>
    <x v="4"/>
    <x v="1"/>
    <n v="3"/>
    <x v="1"/>
    <x v="0"/>
    <s v="Card"/>
    <x v="2"/>
    <x v="6"/>
    <x v="0"/>
    <x v="0"/>
  </r>
  <r>
    <n v="100183"/>
    <x v="182"/>
    <x v="3"/>
    <x v="1"/>
    <x v="0"/>
    <n v="1"/>
    <x v="10"/>
    <x v="0"/>
    <s v="UPI"/>
    <x v="1"/>
    <x v="29"/>
    <x v="0"/>
    <x v="0"/>
  </r>
  <r>
    <n v="100184"/>
    <x v="183"/>
    <x v="12"/>
    <x v="0"/>
    <x v="0"/>
    <n v="3"/>
    <x v="5"/>
    <x v="0"/>
    <s v="Card"/>
    <x v="3"/>
    <x v="20"/>
    <x v="0"/>
    <x v="0"/>
  </r>
  <r>
    <n v="100185"/>
    <x v="184"/>
    <x v="10"/>
    <x v="5"/>
    <x v="0"/>
    <n v="4"/>
    <x v="4"/>
    <x v="0"/>
    <s v="Cash"/>
    <x v="5"/>
    <x v="36"/>
    <x v="0"/>
    <x v="0"/>
  </r>
  <r>
    <n v="100186"/>
    <x v="185"/>
    <x v="15"/>
    <x v="6"/>
    <x v="1"/>
    <n v="5"/>
    <x v="0"/>
    <x v="0"/>
    <s v="Card"/>
    <x v="0"/>
    <x v="0"/>
    <x v="0"/>
    <x v="0"/>
  </r>
  <r>
    <n v="100187"/>
    <x v="186"/>
    <x v="1"/>
    <x v="2"/>
    <x v="0"/>
    <n v="4"/>
    <x v="7"/>
    <x v="0"/>
    <s v="Card"/>
    <x v="5"/>
    <x v="9"/>
    <x v="0"/>
    <x v="0"/>
  </r>
  <r>
    <n v="100188"/>
    <x v="187"/>
    <x v="8"/>
    <x v="5"/>
    <x v="0"/>
    <n v="5"/>
    <x v="1"/>
    <x v="0"/>
    <s v="NetBanking"/>
    <x v="5"/>
    <x v="1"/>
    <x v="0"/>
    <x v="0"/>
  </r>
  <r>
    <n v="100189"/>
    <x v="188"/>
    <x v="10"/>
    <x v="1"/>
    <x v="0"/>
    <n v="4"/>
    <x v="0"/>
    <x v="0"/>
    <s v="NetBanking"/>
    <x v="5"/>
    <x v="13"/>
    <x v="0"/>
    <x v="0"/>
  </r>
  <r>
    <n v="100190"/>
    <x v="189"/>
    <x v="3"/>
    <x v="6"/>
    <x v="1"/>
    <n v="3"/>
    <x v="9"/>
    <x v="0"/>
    <s v="NetBanking"/>
    <x v="4"/>
    <x v="16"/>
    <x v="0"/>
    <x v="0"/>
  </r>
  <r>
    <n v="100191"/>
    <x v="190"/>
    <x v="14"/>
    <x v="1"/>
    <x v="1"/>
    <n v="1"/>
    <x v="2"/>
    <x v="1"/>
    <s v="UPI"/>
    <x v="5"/>
    <x v="21"/>
    <x v="0"/>
    <x v="0"/>
  </r>
  <r>
    <n v="100192"/>
    <x v="191"/>
    <x v="14"/>
    <x v="0"/>
    <x v="0"/>
    <n v="2"/>
    <x v="3"/>
    <x v="0"/>
    <s v="Card"/>
    <x v="2"/>
    <x v="17"/>
    <x v="0"/>
    <x v="0"/>
  </r>
  <r>
    <n v="100193"/>
    <x v="192"/>
    <x v="11"/>
    <x v="1"/>
    <x v="0"/>
    <n v="5"/>
    <x v="4"/>
    <x v="0"/>
    <s v="Cash"/>
    <x v="5"/>
    <x v="31"/>
    <x v="0"/>
    <x v="0"/>
  </r>
  <r>
    <n v="100194"/>
    <x v="193"/>
    <x v="16"/>
    <x v="1"/>
    <x v="0"/>
    <n v="5"/>
    <x v="10"/>
    <x v="0"/>
    <s v="Cash"/>
    <x v="2"/>
    <x v="25"/>
    <x v="0"/>
    <x v="0"/>
  </r>
  <r>
    <n v="100195"/>
    <x v="194"/>
    <x v="10"/>
    <x v="3"/>
    <x v="0"/>
    <n v="5"/>
    <x v="3"/>
    <x v="0"/>
    <s v="Card"/>
    <x v="3"/>
    <x v="10"/>
    <x v="0"/>
    <x v="0"/>
  </r>
  <r>
    <n v="100196"/>
    <x v="195"/>
    <x v="14"/>
    <x v="5"/>
    <x v="0"/>
    <n v="1"/>
    <x v="3"/>
    <x v="0"/>
    <s v="NetBanking"/>
    <x v="1"/>
    <x v="35"/>
    <x v="0"/>
    <x v="0"/>
  </r>
  <r>
    <n v="100197"/>
    <x v="196"/>
    <x v="7"/>
    <x v="6"/>
    <x v="1"/>
    <n v="4"/>
    <x v="5"/>
    <x v="0"/>
    <s v="Cash"/>
    <x v="2"/>
    <x v="34"/>
    <x v="0"/>
    <x v="0"/>
  </r>
  <r>
    <n v="100198"/>
    <x v="197"/>
    <x v="1"/>
    <x v="5"/>
    <x v="0"/>
    <n v="3"/>
    <x v="4"/>
    <x v="0"/>
    <s v="NetBanking"/>
    <x v="5"/>
    <x v="23"/>
    <x v="0"/>
    <x v="0"/>
  </r>
  <r>
    <n v="100199"/>
    <x v="198"/>
    <x v="6"/>
    <x v="4"/>
    <x v="1"/>
    <n v="1"/>
    <x v="8"/>
    <x v="0"/>
    <s v="Card"/>
    <x v="4"/>
    <x v="11"/>
    <x v="0"/>
    <x v="0"/>
  </r>
  <r>
    <n v="100200"/>
    <x v="199"/>
    <x v="5"/>
    <x v="2"/>
    <x v="1"/>
    <n v="5"/>
    <x v="7"/>
    <x v="0"/>
    <s v="Card"/>
    <x v="4"/>
    <x v="38"/>
    <x v="0"/>
    <x v="0"/>
  </r>
  <r>
    <n v="100201"/>
    <x v="200"/>
    <x v="7"/>
    <x v="3"/>
    <x v="0"/>
    <n v="3"/>
    <x v="4"/>
    <x v="0"/>
    <s v="NetBanking"/>
    <x v="1"/>
    <x v="23"/>
    <x v="0"/>
    <x v="0"/>
  </r>
  <r>
    <n v="100202"/>
    <x v="201"/>
    <x v="5"/>
    <x v="5"/>
    <x v="0"/>
    <n v="2"/>
    <x v="7"/>
    <x v="0"/>
    <s v="NetBanking"/>
    <x v="2"/>
    <x v="26"/>
    <x v="0"/>
    <x v="0"/>
  </r>
  <r>
    <n v="100203"/>
    <x v="202"/>
    <x v="1"/>
    <x v="6"/>
    <x v="1"/>
    <n v="1"/>
    <x v="7"/>
    <x v="0"/>
    <s v="Card"/>
    <x v="4"/>
    <x v="21"/>
    <x v="0"/>
    <x v="0"/>
  </r>
  <r>
    <n v="100204"/>
    <x v="203"/>
    <x v="0"/>
    <x v="3"/>
    <x v="0"/>
    <n v="2"/>
    <x v="3"/>
    <x v="0"/>
    <s v="Card"/>
    <x v="5"/>
    <x v="17"/>
    <x v="0"/>
    <x v="0"/>
  </r>
  <r>
    <n v="100205"/>
    <x v="204"/>
    <x v="1"/>
    <x v="5"/>
    <x v="0"/>
    <n v="4"/>
    <x v="0"/>
    <x v="0"/>
    <s v="Card"/>
    <x v="6"/>
    <x v="13"/>
    <x v="0"/>
    <x v="0"/>
  </r>
  <r>
    <n v="100206"/>
    <x v="205"/>
    <x v="16"/>
    <x v="4"/>
    <x v="0"/>
    <n v="1"/>
    <x v="9"/>
    <x v="0"/>
    <s v="Card"/>
    <x v="3"/>
    <x v="30"/>
    <x v="0"/>
    <x v="0"/>
  </r>
  <r>
    <n v="100207"/>
    <x v="206"/>
    <x v="11"/>
    <x v="1"/>
    <x v="0"/>
    <n v="1"/>
    <x v="5"/>
    <x v="0"/>
    <s v="Card"/>
    <x v="1"/>
    <x v="7"/>
    <x v="0"/>
    <x v="0"/>
  </r>
  <r>
    <n v="100208"/>
    <x v="207"/>
    <x v="4"/>
    <x v="2"/>
    <x v="0"/>
    <n v="4"/>
    <x v="9"/>
    <x v="0"/>
    <s v="UPI"/>
    <x v="1"/>
    <x v="27"/>
    <x v="0"/>
    <x v="0"/>
  </r>
  <r>
    <n v="100209"/>
    <x v="208"/>
    <x v="0"/>
    <x v="5"/>
    <x v="0"/>
    <n v="3"/>
    <x v="9"/>
    <x v="0"/>
    <s v="Cash"/>
    <x v="6"/>
    <x v="16"/>
    <x v="0"/>
    <x v="0"/>
  </r>
  <r>
    <n v="100210"/>
    <x v="209"/>
    <x v="17"/>
    <x v="5"/>
    <x v="0"/>
    <n v="2"/>
    <x v="0"/>
    <x v="0"/>
    <s v="UPI"/>
    <x v="1"/>
    <x v="31"/>
    <x v="0"/>
    <x v="0"/>
  </r>
  <r>
    <n v="100211"/>
    <x v="210"/>
    <x v="4"/>
    <x v="4"/>
    <x v="0"/>
    <n v="5"/>
    <x v="4"/>
    <x v="0"/>
    <s v="NetBanking"/>
    <x v="0"/>
    <x v="31"/>
    <x v="0"/>
    <x v="0"/>
  </r>
  <r>
    <n v="100212"/>
    <x v="211"/>
    <x v="11"/>
    <x v="2"/>
    <x v="1"/>
    <n v="4"/>
    <x v="7"/>
    <x v="0"/>
    <s v="UPI"/>
    <x v="6"/>
    <x v="9"/>
    <x v="0"/>
    <x v="0"/>
  </r>
  <r>
    <n v="100213"/>
    <x v="212"/>
    <x v="3"/>
    <x v="3"/>
    <x v="0"/>
    <n v="1"/>
    <x v="10"/>
    <x v="0"/>
    <s v="UPI"/>
    <x v="0"/>
    <x v="29"/>
    <x v="0"/>
    <x v="0"/>
  </r>
  <r>
    <n v="100214"/>
    <x v="213"/>
    <x v="17"/>
    <x v="1"/>
    <x v="0"/>
    <n v="1"/>
    <x v="8"/>
    <x v="0"/>
    <s v="Card"/>
    <x v="0"/>
    <x v="11"/>
    <x v="0"/>
    <x v="0"/>
  </r>
  <r>
    <n v="100215"/>
    <x v="214"/>
    <x v="13"/>
    <x v="1"/>
    <x v="0"/>
    <n v="4"/>
    <x v="9"/>
    <x v="0"/>
    <s v="NetBanking"/>
    <x v="6"/>
    <x v="27"/>
    <x v="0"/>
    <x v="0"/>
  </r>
  <r>
    <n v="100216"/>
    <x v="215"/>
    <x v="7"/>
    <x v="6"/>
    <x v="0"/>
    <n v="1"/>
    <x v="10"/>
    <x v="0"/>
    <s v="UPI"/>
    <x v="2"/>
    <x v="29"/>
    <x v="0"/>
    <x v="0"/>
  </r>
  <r>
    <n v="100217"/>
    <x v="216"/>
    <x v="0"/>
    <x v="2"/>
    <x v="0"/>
    <n v="4"/>
    <x v="5"/>
    <x v="0"/>
    <s v="Card"/>
    <x v="1"/>
    <x v="34"/>
    <x v="0"/>
    <x v="0"/>
  </r>
  <r>
    <n v="100218"/>
    <x v="217"/>
    <x v="14"/>
    <x v="4"/>
    <x v="1"/>
    <n v="1"/>
    <x v="7"/>
    <x v="0"/>
    <s v="NetBanking"/>
    <x v="6"/>
    <x v="21"/>
    <x v="0"/>
    <x v="0"/>
  </r>
  <r>
    <n v="100219"/>
    <x v="218"/>
    <x v="14"/>
    <x v="2"/>
    <x v="0"/>
    <n v="5"/>
    <x v="1"/>
    <x v="0"/>
    <s v="UPI"/>
    <x v="6"/>
    <x v="1"/>
    <x v="0"/>
    <x v="0"/>
  </r>
  <r>
    <n v="100220"/>
    <x v="219"/>
    <x v="1"/>
    <x v="5"/>
    <x v="0"/>
    <n v="1"/>
    <x v="10"/>
    <x v="0"/>
    <s v="NetBanking"/>
    <x v="1"/>
    <x v="29"/>
    <x v="0"/>
    <x v="0"/>
  </r>
  <r>
    <n v="100221"/>
    <x v="220"/>
    <x v="12"/>
    <x v="3"/>
    <x v="0"/>
    <n v="1"/>
    <x v="5"/>
    <x v="0"/>
    <s v="UPI"/>
    <x v="5"/>
    <x v="7"/>
    <x v="0"/>
    <x v="0"/>
  </r>
  <r>
    <n v="100222"/>
    <x v="221"/>
    <x v="8"/>
    <x v="1"/>
    <x v="0"/>
    <n v="5"/>
    <x v="7"/>
    <x v="0"/>
    <s v="UPI"/>
    <x v="0"/>
    <x v="38"/>
    <x v="0"/>
    <x v="0"/>
  </r>
  <r>
    <n v="100223"/>
    <x v="222"/>
    <x v="11"/>
    <x v="3"/>
    <x v="0"/>
    <n v="1"/>
    <x v="8"/>
    <x v="0"/>
    <s v="NetBanking"/>
    <x v="6"/>
    <x v="11"/>
    <x v="0"/>
    <x v="0"/>
  </r>
  <r>
    <n v="100224"/>
    <x v="223"/>
    <x v="14"/>
    <x v="3"/>
    <x v="0"/>
    <n v="1"/>
    <x v="10"/>
    <x v="0"/>
    <s v="UPI"/>
    <x v="6"/>
    <x v="29"/>
    <x v="0"/>
    <x v="0"/>
  </r>
  <r>
    <n v="100225"/>
    <x v="224"/>
    <x v="9"/>
    <x v="5"/>
    <x v="0"/>
    <n v="5"/>
    <x v="6"/>
    <x v="0"/>
    <s v="NetBanking"/>
    <x v="0"/>
    <x v="8"/>
    <x v="0"/>
    <x v="0"/>
  </r>
  <r>
    <n v="100226"/>
    <x v="225"/>
    <x v="15"/>
    <x v="6"/>
    <x v="1"/>
    <n v="3"/>
    <x v="9"/>
    <x v="0"/>
    <s v="Cash"/>
    <x v="5"/>
    <x v="16"/>
    <x v="0"/>
    <x v="0"/>
  </r>
  <r>
    <n v="100227"/>
    <x v="226"/>
    <x v="15"/>
    <x v="3"/>
    <x v="1"/>
    <n v="2"/>
    <x v="4"/>
    <x v="0"/>
    <s v="Cash"/>
    <x v="6"/>
    <x v="5"/>
    <x v="0"/>
    <x v="0"/>
  </r>
  <r>
    <n v="100228"/>
    <x v="227"/>
    <x v="16"/>
    <x v="6"/>
    <x v="0"/>
    <n v="1"/>
    <x v="6"/>
    <x v="0"/>
    <s v="Card"/>
    <x v="1"/>
    <x v="19"/>
    <x v="0"/>
    <x v="0"/>
  </r>
  <r>
    <n v="100229"/>
    <x v="228"/>
    <x v="16"/>
    <x v="5"/>
    <x v="1"/>
    <n v="1"/>
    <x v="8"/>
    <x v="0"/>
    <s v="Card"/>
    <x v="0"/>
    <x v="11"/>
    <x v="0"/>
    <x v="0"/>
  </r>
  <r>
    <n v="100230"/>
    <x v="229"/>
    <x v="7"/>
    <x v="5"/>
    <x v="0"/>
    <n v="2"/>
    <x v="4"/>
    <x v="0"/>
    <s v="UPI"/>
    <x v="4"/>
    <x v="5"/>
    <x v="0"/>
    <x v="0"/>
  </r>
  <r>
    <n v="100231"/>
    <x v="230"/>
    <x v="5"/>
    <x v="0"/>
    <x v="0"/>
    <n v="5"/>
    <x v="3"/>
    <x v="0"/>
    <s v="Card"/>
    <x v="3"/>
    <x v="10"/>
    <x v="0"/>
    <x v="0"/>
  </r>
  <r>
    <n v="100232"/>
    <x v="231"/>
    <x v="14"/>
    <x v="2"/>
    <x v="0"/>
    <n v="1"/>
    <x v="7"/>
    <x v="0"/>
    <s v="UPI"/>
    <x v="5"/>
    <x v="21"/>
    <x v="0"/>
    <x v="0"/>
  </r>
  <r>
    <n v="100233"/>
    <x v="232"/>
    <x v="14"/>
    <x v="1"/>
    <x v="0"/>
    <n v="1"/>
    <x v="0"/>
    <x v="0"/>
    <s v="Cash"/>
    <x v="1"/>
    <x v="4"/>
    <x v="0"/>
    <x v="0"/>
  </r>
  <r>
    <n v="100234"/>
    <x v="233"/>
    <x v="7"/>
    <x v="1"/>
    <x v="1"/>
    <n v="2"/>
    <x v="0"/>
    <x v="0"/>
    <s v="UPI"/>
    <x v="0"/>
    <x v="31"/>
    <x v="0"/>
    <x v="0"/>
  </r>
  <r>
    <n v="100235"/>
    <x v="234"/>
    <x v="1"/>
    <x v="4"/>
    <x v="0"/>
    <n v="2"/>
    <x v="1"/>
    <x v="0"/>
    <s v="NetBanking"/>
    <x v="5"/>
    <x v="28"/>
    <x v="0"/>
    <x v="0"/>
  </r>
  <r>
    <n v="100236"/>
    <x v="235"/>
    <x v="11"/>
    <x v="1"/>
    <x v="0"/>
    <n v="1"/>
    <x v="5"/>
    <x v="0"/>
    <s v="UPI"/>
    <x v="4"/>
    <x v="7"/>
    <x v="0"/>
    <x v="0"/>
  </r>
  <r>
    <n v="100237"/>
    <x v="236"/>
    <x v="1"/>
    <x v="6"/>
    <x v="1"/>
    <n v="5"/>
    <x v="5"/>
    <x v="0"/>
    <s v="NetBanking"/>
    <x v="4"/>
    <x v="14"/>
    <x v="0"/>
    <x v="0"/>
  </r>
  <r>
    <n v="100238"/>
    <x v="237"/>
    <x v="3"/>
    <x v="1"/>
    <x v="0"/>
    <n v="2"/>
    <x v="10"/>
    <x v="0"/>
    <s v="UPI"/>
    <x v="5"/>
    <x v="18"/>
    <x v="0"/>
    <x v="0"/>
  </r>
  <r>
    <n v="100239"/>
    <x v="238"/>
    <x v="12"/>
    <x v="6"/>
    <x v="0"/>
    <n v="2"/>
    <x v="9"/>
    <x v="0"/>
    <s v="UPI"/>
    <x v="5"/>
    <x v="22"/>
    <x v="0"/>
    <x v="0"/>
  </r>
  <r>
    <n v="100240"/>
    <x v="239"/>
    <x v="4"/>
    <x v="1"/>
    <x v="0"/>
    <n v="2"/>
    <x v="8"/>
    <x v="0"/>
    <s v="UPI"/>
    <x v="3"/>
    <x v="14"/>
    <x v="0"/>
    <x v="0"/>
  </r>
  <r>
    <n v="100241"/>
    <x v="240"/>
    <x v="6"/>
    <x v="4"/>
    <x v="0"/>
    <n v="1"/>
    <x v="8"/>
    <x v="0"/>
    <s v="Cash"/>
    <x v="2"/>
    <x v="11"/>
    <x v="0"/>
    <x v="0"/>
  </r>
  <r>
    <n v="100242"/>
    <x v="241"/>
    <x v="10"/>
    <x v="2"/>
    <x v="1"/>
    <n v="4"/>
    <x v="2"/>
    <x v="1"/>
    <s v="Card"/>
    <x v="4"/>
    <x v="15"/>
    <x v="0"/>
    <x v="0"/>
  </r>
  <r>
    <n v="100243"/>
    <x v="242"/>
    <x v="4"/>
    <x v="3"/>
    <x v="0"/>
    <n v="2"/>
    <x v="1"/>
    <x v="0"/>
    <s v="NetBanking"/>
    <x v="3"/>
    <x v="28"/>
    <x v="0"/>
    <x v="0"/>
  </r>
  <r>
    <n v="100244"/>
    <x v="243"/>
    <x v="1"/>
    <x v="2"/>
    <x v="0"/>
    <n v="2"/>
    <x v="9"/>
    <x v="0"/>
    <s v="NetBanking"/>
    <x v="5"/>
    <x v="22"/>
    <x v="0"/>
    <x v="0"/>
  </r>
  <r>
    <n v="100245"/>
    <x v="244"/>
    <x v="7"/>
    <x v="6"/>
    <x v="1"/>
    <n v="1"/>
    <x v="3"/>
    <x v="0"/>
    <s v="NetBanking"/>
    <x v="3"/>
    <x v="35"/>
    <x v="0"/>
    <x v="0"/>
  </r>
  <r>
    <n v="100246"/>
    <x v="245"/>
    <x v="14"/>
    <x v="5"/>
    <x v="0"/>
    <n v="1"/>
    <x v="7"/>
    <x v="0"/>
    <s v="UPI"/>
    <x v="0"/>
    <x v="21"/>
    <x v="0"/>
    <x v="0"/>
  </r>
  <r>
    <n v="100247"/>
    <x v="246"/>
    <x v="7"/>
    <x v="3"/>
    <x v="0"/>
    <n v="5"/>
    <x v="3"/>
    <x v="0"/>
    <s v="UPI"/>
    <x v="5"/>
    <x v="10"/>
    <x v="0"/>
    <x v="0"/>
  </r>
  <r>
    <n v="100248"/>
    <x v="247"/>
    <x v="17"/>
    <x v="0"/>
    <x v="0"/>
    <n v="3"/>
    <x v="10"/>
    <x v="0"/>
    <s v="UPI"/>
    <x v="6"/>
    <x v="33"/>
    <x v="0"/>
    <x v="0"/>
  </r>
  <r>
    <n v="100249"/>
    <x v="248"/>
    <x v="18"/>
    <x v="4"/>
    <x v="0"/>
    <n v="5"/>
    <x v="3"/>
    <x v="0"/>
    <s v="Cash"/>
    <x v="1"/>
    <x v="10"/>
    <x v="0"/>
    <x v="0"/>
  </r>
  <r>
    <n v="100250"/>
    <x v="249"/>
    <x v="17"/>
    <x v="2"/>
    <x v="0"/>
    <n v="3"/>
    <x v="8"/>
    <x v="0"/>
    <s v="UPI"/>
    <x v="1"/>
    <x v="24"/>
    <x v="0"/>
    <x v="0"/>
  </r>
  <r>
    <n v="100251"/>
    <x v="250"/>
    <x v="8"/>
    <x v="3"/>
    <x v="0"/>
    <n v="4"/>
    <x v="5"/>
    <x v="0"/>
    <s v="NetBanking"/>
    <x v="3"/>
    <x v="34"/>
    <x v="0"/>
    <x v="0"/>
  </r>
  <r>
    <n v="100252"/>
    <x v="251"/>
    <x v="7"/>
    <x v="4"/>
    <x v="0"/>
    <n v="1"/>
    <x v="5"/>
    <x v="0"/>
    <s v="UPI"/>
    <x v="3"/>
    <x v="7"/>
    <x v="0"/>
    <x v="0"/>
  </r>
  <r>
    <n v="100253"/>
    <x v="252"/>
    <x v="14"/>
    <x v="2"/>
    <x v="0"/>
    <n v="4"/>
    <x v="3"/>
    <x v="0"/>
    <s v="Card"/>
    <x v="5"/>
    <x v="2"/>
    <x v="0"/>
    <x v="0"/>
  </r>
  <r>
    <n v="100254"/>
    <x v="253"/>
    <x v="16"/>
    <x v="6"/>
    <x v="1"/>
    <n v="5"/>
    <x v="3"/>
    <x v="0"/>
    <s v="Cash"/>
    <x v="1"/>
    <x v="10"/>
    <x v="0"/>
    <x v="0"/>
  </r>
  <r>
    <n v="100255"/>
    <x v="254"/>
    <x v="6"/>
    <x v="6"/>
    <x v="0"/>
    <n v="1"/>
    <x v="6"/>
    <x v="0"/>
    <s v="Card"/>
    <x v="1"/>
    <x v="19"/>
    <x v="0"/>
    <x v="0"/>
  </r>
  <r>
    <n v="100256"/>
    <x v="255"/>
    <x v="11"/>
    <x v="5"/>
    <x v="1"/>
    <n v="4"/>
    <x v="7"/>
    <x v="0"/>
    <s v="Card"/>
    <x v="5"/>
    <x v="9"/>
    <x v="0"/>
    <x v="0"/>
  </r>
  <r>
    <n v="100257"/>
    <x v="256"/>
    <x v="6"/>
    <x v="6"/>
    <x v="0"/>
    <n v="4"/>
    <x v="3"/>
    <x v="0"/>
    <s v="Cash"/>
    <x v="6"/>
    <x v="2"/>
    <x v="0"/>
    <x v="0"/>
  </r>
  <r>
    <n v="100258"/>
    <x v="257"/>
    <x v="11"/>
    <x v="0"/>
    <x v="0"/>
    <n v="4"/>
    <x v="3"/>
    <x v="0"/>
    <s v="Cash"/>
    <x v="1"/>
    <x v="2"/>
    <x v="0"/>
    <x v="0"/>
  </r>
  <r>
    <n v="100259"/>
    <x v="258"/>
    <x v="18"/>
    <x v="1"/>
    <x v="0"/>
    <n v="4"/>
    <x v="3"/>
    <x v="0"/>
    <s v="NetBanking"/>
    <x v="1"/>
    <x v="2"/>
    <x v="0"/>
    <x v="0"/>
  </r>
  <r>
    <n v="100260"/>
    <x v="259"/>
    <x v="14"/>
    <x v="6"/>
    <x v="1"/>
    <n v="1"/>
    <x v="6"/>
    <x v="0"/>
    <s v="Cash"/>
    <x v="5"/>
    <x v="19"/>
    <x v="0"/>
    <x v="0"/>
  </r>
  <r>
    <n v="100261"/>
    <x v="260"/>
    <x v="1"/>
    <x v="6"/>
    <x v="0"/>
    <n v="2"/>
    <x v="8"/>
    <x v="0"/>
    <s v="UPI"/>
    <x v="5"/>
    <x v="14"/>
    <x v="0"/>
    <x v="0"/>
  </r>
  <r>
    <n v="100262"/>
    <x v="261"/>
    <x v="4"/>
    <x v="1"/>
    <x v="0"/>
    <n v="2"/>
    <x v="3"/>
    <x v="0"/>
    <s v="UPI"/>
    <x v="2"/>
    <x v="17"/>
    <x v="0"/>
    <x v="0"/>
  </r>
  <r>
    <n v="100263"/>
    <x v="262"/>
    <x v="0"/>
    <x v="6"/>
    <x v="0"/>
    <n v="3"/>
    <x v="8"/>
    <x v="0"/>
    <s v="Cash"/>
    <x v="1"/>
    <x v="24"/>
    <x v="0"/>
    <x v="0"/>
  </r>
  <r>
    <n v="100264"/>
    <x v="263"/>
    <x v="7"/>
    <x v="3"/>
    <x v="0"/>
    <n v="5"/>
    <x v="4"/>
    <x v="0"/>
    <s v="NetBanking"/>
    <x v="2"/>
    <x v="31"/>
    <x v="0"/>
    <x v="0"/>
  </r>
  <r>
    <n v="100265"/>
    <x v="264"/>
    <x v="12"/>
    <x v="5"/>
    <x v="1"/>
    <n v="5"/>
    <x v="5"/>
    <x v="0"/>
    <s v="Card"/>
    <x v="6"/>
    <x v="14"/>
    <x v="0"/>
    <x v="0"/>
  </r>
  <r>
    <n v="100266"/>
    <x v="265"/>
    <x v="11"/>
    <x v="4"/>
    <x v="0"/>
    <n v="2"/>
    <x v="2"/>
    <x v="1"/>
    <s v="Card"/>
    <x v="6"/>
    <x v="31"/>
    <x v="0"/>
    <x v="0"/>
  </r>
  <r>
    <n v="100267"/>
    <x v="266"/>
    <x v="14"/>
    <x v="0"/>
    <x v="0"/>
    <n v="1"/>
    <x v="3"/>
    <x v="0"/>
    <s v="Card"/>
    <x v="6"/>
    <x v="35"/>
    <x v="0"/>
    <x v="0"/>
  </r>
  <r>
    <n v="100268"/>
    <x v="267"/>
    <x v="9"/>
    <x v="2"/>
    <x v="0"/>
    <n v="5"/>
    <x v="3"/>
    <x v="0"/>
    <s v="UPI"/>
    <x v="2"/>
    <x v="10"/>
    <x v="0"/>
    <x v="0"/>
  </r>
  <r>
    <n v="100269"/>
    <x v="268"/>
    <x v="5"/>
    <x v="1"/>
    <x v="1"/>
    <n v="3"/>
    <x v="1"/>
    <x v="0"/>
    <s v="UPI"/>
    <x v="4"/>
    <x v="6"/>
    <x v="0"/>
    <x v="0"/>
  </r>
  <r>
    <n v="100270"/>
    <x v="269"/>
    <x v="18"/>
    <x v="5"/>
    <x v="1"/>
    <n v="3"/>
    <x v="9"/>
    <x v="0"/>
    <s v="Cash"/>
    <x v="6"/>
    <x v="16"/>
    <x v="0"/>
    <x v="0"/>
  </r>
  <r>
    <n v="100271"/>
    <x v="270"/>
    <x v="10"/>
    <x v="5"/>
    <x v="0"/>
    <n v="5"/>
    <x v="0"/>
    <x v="0"/>
    <s v="NetBanking"/>
    <x v="0"/>
    <x v="0"/>
    <x v="0"/>
    <x v="0"/>
  </r>
  <r>
    <n v="100272"/>
    <x v="271"/>
    <x v="10"/>
    <x v="1"/>
    <x v="0"/>
    <n v="1"/>
    <x v="9"/>
    <x v="0"/>
    <s v="NetBanking"/>
    <x v="5"/>
    <x v="30"/>
    <x v="0"/>
    <x v="0"/>
  </r>
  <r>
    <n v="100273"/>
    <x v="272"/>
    <x v="19"/>
    <x v="1"/>
    <x v="0"/>
    <n v="1"/>
    <x v="0"/>
    <x v="0"/>
    <s v="NetBanking"/>
    <x v="3"/>
    <x v="4"/>
    <x v="0"/>
    <x v="0"/>
  </r>
  <r>
    <n v="100274"/>
    <x v="273"/>
    <x v="5"/>
    <x v="0"/>
    <x v="0"/>
    <n v="1"/>
    <x v="0"/>
    <x v="0"/>
    <s v="Card"/>
    <x v="4"/>
    <x v="4"/>
    <x v="0"/>
    <x v="0"/>
  </r>
  <r>
    <n v="100275"/>
    <x v="274"/>
    <x v="4"/>
    <x v="4"/>
    <x v="0"/>
    <n v="2"/>
    <x v="0"/>
    <x v="0"/>
    <s v="NetBanking"/>
    <x v="5"/>
    <x v="31"/>
    <x v="0"/>
    <x v="0"/>
  </r>
  <r>
    <n v="100276"/>
    <x v="275"/>
    <x v="8"/>
    <x v="5"/>
    <x v="0"/>
    <n v="5"/>
    <x v="6"/>
    <x v="0"/>
    <s v="NetBanking"/>
    <x v="5"/>
    <x v="8"/>
    <x v="0"/>
    <x v="0"/>
  </r>
  <r>
    <n v="100277"/>
    <x v="276"/>
    <x v="11"/>
    <x v="6"/>
    <x v="0"/>
    <n v="1"/>
    <x v="7"/>
    <x v="0"/>
    <s v="NetBanking"/>
    <x v="6"/>
    <x v="21"/>
    <x v="0"/>
    <x v="0"/>
  </r>
  <r>
    <n v="100278"/>
    <x v="277"/>
    <x v="2"/>
    <x v="1"/>
    <x v="0"/>
    <n v="4"/>
    <x v="3"/>
    <x v="0"/>
    <s v="Cash"/>
    <x v="4"/>
    <x v="2"/>
    <x v="0"/>
    <x v="0"/>
  </r>
  <r>
    <n v="100279"/>
    <x v="278"/>
    <x v="11"/>
    <x v="6"/>
    <x v="0"/>
    <n v="4"/>
    <x v="4"/>
    <x v="0"/>
    <s v="UPI"/>
    <x v="0"/>
    <x v="36"/>
    <x v="0"/>
    <x v="0"/>
  </r>
  <r>
    <n v="100280"/>
    <x v="279"/>
    <x v="15"/>
    <x v="2"/>
    <x v="1"/>
    <n v="3"/>
    <x v="4"/>
    <x v="0"/>
    <s v="UPI"/>
    <x v="5"/>
    <x v="23"/>
    <x v="0"/>
    <x v="0"/>
  </r>
  <r>
    <n v="100281"/>
    <x v="280"/>
    <x v="14"/>
    <x v="1"/>
    <x v="0"/>
    <n v="4"/>
    <x v="8"/>
    <x v="0"/>
    <s v="NetBanking"/>
    <x v="1"/>
    <x v="42"/>
    <x v="0"/>
    <x v="0"/>
  </r>
  <r>
    <n v="100282"/>
    <x v="281"/>
    <x v="5"/>
    <x v="5"/>
    <x v="1"/>
    <n v="3"/>
    <x v="3"/>
    <x v="0"/>
    <s v="Cash"/>
    <x v="4"/>
    <x v="3"/>
    <x v="0"/>
    <x v="0"/>
  </r>
  <r>
    <n v="100283"/>
    <x v="282"/>
    <x v="6"/>
    <x v="0"/>
    <x v="0"/>
    <n v="2"/>
    <x v="0"/>
    <x v="0"/>
    <s v="Card"/>
    <x v="4"/>
    <x v="31"/>
    <x v="0"/>
    <x v="0"/>
  </r>
  <r>
    <n v="100284"/>
    <x v="283"/>
    <x v="7"/>
    <x v="0"/>
    <x v="0"/>
    <n v="2"/>
    <x v="0"/>
    <x v="0"/>
    <s v="NetBanking"/>
    <x v="0"/>
    <x v="31"/>
    <x v="0"/>
    <x v="0"/>
  </r>
  <r>
    <n v="100285"/>
    <x v="284"/>
    <x v="12"/>
    <x v="5"/>
    <x v="1"/>
    <n v="4"/>
    <x v="4"/>
    <x v="0"/>
    <s v="Card"/>
    <x v="3"/>
    <x v="36"/>
    <x v="0"/>
    <x v="0"/>
  </r>
  <r>
    <n v="100286"/>
    <x v="285"/>
    <x v="12"/>
    <x v="5"/>
    <x v="0"/>
    <n v="5"/>
    <x v="0"/>
    <x v="0"/>
    <s v="Cash"/>
    <x v="1"/>
    <x v="0"/>
    <x v="0"/>
    <x v="0"/>
  </r>
  <r>
    <n v="100287"/>
    <x v="286"/>
    <x v="9"/>
    <x v="2"/>
    <x v="0"/>
    <n v="1"/>
    <x v="7"/>
    <x v="0"/>
    <s v="Cash"/>
    <x v="4"/>
    <x v="21"/>
    <x v="0"/>
    <x v="0"/>
  </r>
  <r>
    <n v="100288"/>
    <x v="287"/>
    <x v="18"/>
    <x v="0"/>
    <x v="0"/>
    <n v="1"/>
    <x v="9"/>
    <x v="0"/>
    <s v="NetBanking"/>
    <x v="5"/>
    <x v="30"/>
    <x v="0"/>
    <x v="0"/>
  </r>
  <r>
    <n v="100289"/>
    <x v="288"/>
    <x v="10"/>
    <x v="0"/>
    <x v="0"/>
    <n v="5"/>
    <x v="1"/>
    <x v="0"/>
    <s v="Card"/>
    <x v="3"/>
    <x v="1"/>
    <x v="0"/>
    <x v="0"/>
  </r>
  <r>
    <n v="100290"/>
    <x v="289"/>
    <x v="7"/>
    <x v="0"/>
    <x v="0"/>
    <n v="3"/>
    <x v="9"/>
    <x v="0"/>
    <s v="Card"/>
    <x v="0"/>
    <x v="16"/>
    <x v="0"/>
    <x v="0"/>
  </r>
  <r>
    <n v="100291"/>
    <x v="290"/>
    <x v="16"/>
    <x v="1"/>
    <x v="0"/>
    <n v="3"/>
    <x v="5"/>
    <x v="0"/>
    <s v="Cash"/>
    <x v="0"/>
    <x v="20"/>
    <x v="0"/>
    <x v="0"/>
  </r>
  <r>
    <n v="100292"/>
    <x v="291"/>
    <x v="15"/>
    <x v="2"/>
    <x v="0"/>
    <n v="3"/>
    <x v="3"/>
    <x v="0"/>
    <s v="Card"/>
    <x v="2"/>
    <x v="3"/>
    <x v="0"/>
    <x v="0"/>
  </r>
  <r>
    <n v="100293"/>
    <x v="292"/>
    <x v="12"/>
    <x v="1"/>
    <x v="0"/>
    <n v="1"/>
    <x v="7"/>
    <x v="0"/>
    <s v="NetBanking"/>
    <x v="1"/>
    <x v="21"/>
    <x v="0"/>
    <x v="0"/>
  </r>
  <r>
    <n v="100294"/>
    <x v="293"/>
    <x v="18"/>
    <x v="2"/>
    <x v="0"/>
    <n v="4"/>
    <x v="1"/>
    <x v="0"/>
    <s v="NetBanking"/>
    <x v="4"/>
    <x v="39"/>
    <x v="0"/>
    <x v="0"/>
  </r>
  <r>
    <n v="100295"/>
    <x v="294"/>
    <x v="7"/>
    <x v="4"/>
    <x v="0"/>
    <n v="5"/>
    <x v="6"/>
    <x v="0"/>
    <s v="NetBanking"/>
    <x v="3"/>
    <x v="8"/>
    <x v="0"/>
    <x v="0"/>
  </r>
  <r>
    <n v="100296"/>
    <x v="295"/>
    <x v="11"/>
    <x v="0"/>
    <x v="1"/>
    <n v="2"/>
    <x v="4"/>
    <x v="0"/>
    <s v="UPI"/>
    <x v="1"/>
    <x v="5"/>
    <x v="0"/>
    <x v="0"/>
  </r>
  <r>
    <n v="100297"/>
    <x v="296"/>
    <x v="1"/>
    <x v="4"/>
    <x v="0"/>
    <n v="2"/>
    <x v="5"/>
    <x v="0"/>
    <s v="Card"/>
    <x v="6"/>
    <x v="16"/>
    <x v="0"/>
    <x v="0"/>
  </r>
  <r>
    <n v="100298"/>
    <x v="297"/>
    <x v="11"/>
    <x v="3"/>
    <x v="0"/>
    <n v="1"/>
    <x v="1"/>
    <x v="0"/>
    <s v="NetBanking"/>
    <x v="0"/>
    <x v="43"/>
    <x v="0"/>
    <x v="0"/>
  </r>
  <r>
    <n v="100299"/>
    <x v="298"/>
    <x v="7"/>
    <x v="3"/>
    <x v="1"/>
    <n v="1"/>
    <x v="8"/>
    <x v="0"/>
    <s v="NetBanking"/>
    <x v="4"/>
    <x v="11"/>
    <x v="0"/>
    <x v="0"/>
  </r>
  <r>
    <n v="100300"/>
    <x v="299"/>
    <x v="17"/>
    <x v="0"/>
    <x v="0"/>
    <n v="1"/>
    <x v="10"/>
    <x v="0"/>
    <s v="NetBanking"/>
    <x v="1"/>
    <x v="29"/>
    <x v="0"/>
    <x v="0"/>
  </r>
  <r>
    <n v="100301"/>
    <x v="300"/>
    <x v="13"/>
    <x v="6"/>
    <x v="0"/>
    <n v="5"/>
    <x v="3"/>
    <x v="0"/>
    <s v="Card"/>
    <x v="3"/>
    <x v="10"/>
    <x v="0"/>
    <x v="0"/>
  </r>
  <r>
    <n v="100302"/>
    <x v="301"/>
    <x v="7"/>
    <x v="5"/>
    <x v="0"/>
    <n v="5"/>
    <x v="9"/>
    <x v="0"/>
    <s v="Card"/>
    <x v="0"/>
    <x v="12"/>
    <x v="0"/>
    <x v="0"/>
  </r>
  <r>
    <n v="100303"/>
    <x v="302"/>
    <x v="4"/>
    <x v="3"/>
    <x v="1"/>
    <n v="5"/>
    <x v="8"/>
    <x v="0"/>
    <s v="UPI"/>
    <x v="1"/>
    <x v="32"/>
    <x v="0"/>
    <x v="0"/>
  </r>
  <r>
    <n v="100304"/>
    <x v="303"/>
    <x v="18"/>
    <x v="6"/>
    <x v="0"/>
    <n v="5"/>
    <x v="3"/>
    <x v="0"/>
    <s v="NetBanking"/>
    <x v="0"/>
    <x v="10"/>
    <x v="0"/>
    <x v="0"/>
  </r>
  <r>
    <n v="100305"/>
    <x v="304"/>
    <x v="17"/>
    <x v="4"/>
    <x v="0"/>
    <n v="5"/>
    <x v="6"/>
    <x v="0"/>
    <s v="NetBanking"/>
    <x v="6"/>
    <x v="8"/>
    <x v="0"/>
    <x v="0"/>
  </r>
  <r>
    <n v="100306"/>
    <x v="305"/>
    <x v="2"/>
    <x v="0"/>
    <x v="0"/>
    <n v="3"/>
    <x v="7"/>
    <x v="0"/>
    <s v="UPI"/>
    <x v="1"/>
    <x v="40"/>
    <x v="0"/>
    <x v="0"/>
  </r>
  <r>
    <n v="100307"/>
    <x v="306"/>
    <x v="8"/>
    <x v="5"/>
    <x v="0"/>
    <n v="2"/>
    <x v="2"/>
    <x v="1"/>
    <s v="Card"/>
    <x v="1"/>
    <x v="28"/>
    <x v="0"/>
    <x v="0"/>
  </r>
  <r>
    <n v="100308"/>
    <x v="307"/>
    <x v="13"/>
    <x v="4"/>
    <x v="0"/>
    <n v="4"/>
    <x v="0"/>
    <x v="0"/>
    <s v="UPI"/>
    <x v="0"/>
    <x v="13"/>
    <x v="0"/>
    <x v="0"/>
  </r>
  <r>
    <n v="100309"/>
    <x v="308"/>
    <x v="8"/>
    <x v="1"/>
    <x v="0"/>
    <n v="3"/>
    <x v="7"/>
    <x v="0"/>
    <s v="Cash"/>
    <x v="1"/>
    <x v="40"/>
    <x v="0"/>
    <x v="0"/>
  </r>
  <r>
    <n v="100310"/>
    <x v="309"/>
    <x v="12"/>
    <x v="4"/>
    <x v="0"/>
    <n v="2"/>
    <x v="0"/>
    <x v="0"/>
    <s v="UPI"/>
    <x v="0"/>
    <x v="31"/>
    <x v="0"/>
    <x v="0"/>
  </r>
  <r>
    <n v="100311"/>
    <x v="310"/>
    <x v="4"/>
    <x v="2"/>
    <x v="0"/>
    <n v="2"/>
    <x v="3"/>
    <x v="0"/>
    <s v="Cash"/>
    <x v="1"/>
    <x v="17"/>
    <x v="0"/>
    <x v="0"/>
  </r>
  <r>
    <n v="100312"/>
    <x v="311"/>
    <x v="11"/>
    <x v="0"/>
    <x v="0"/>
    <n v="3"/>
    <x v="7"/>
    <x v="0"/>
    <s v="Cash"/>
    <x v="1"/>
    <x v="40"/>
    <x v="0"/>
    <x v="0"/>
  </r>
  <r>
    <n v="100313"/>
    <x v="312"/>
    <x v="16"/>
    <x v="2"/>
    <x v="0"/>
    <n v="4"/>
    <x v="8"/>
    <x v="0"/>
    <s v="Card"/>
    <x v="0"/>
    <x v="42"/>
    <x v="0"/>
    <x v="0"/>
  </r>
  <r>
    <n v="100314"/>
    <x v="313"/>
    <x v="3"/>
    <x v="4"/>
    <x v="1"/>
    <n v="5"/>
    <x v="4"/>
    <x v="0"/>
    <s v="NetBanking"/>
    <x v="5"/>
    <x v="31"/>
    <x v="0"/>
    <x v="0"/>
  </r>
  <r>
    <n v="100315"/>
    <x v="314"/>
    <x v="14"/>
    <x v="6"/>
    <x v="1"/>
    <n v="5"/>
    <x v="3"/>
    <x v="0"/>
    <s v="UPI"/>
    <x v="2"/>
    <x v="10"/>
    <x v="0"/>
    <x v="0"/>
  </r>
  <r>
    <n v="100316"/>
    <x v="315"/>
    <x v="0"/>
    <x v="0"/>
    <x v="0"/>
    <n v="3"/>
    <x v="10"/>
    <x v="0"/>
    <s v="Cash"/>
    <x v="3"/>
    <x v="33"/>
    <x v="0"/>
    <x v="0"/>
  </r>
  <r>
    <n v="100317"/>
    <x v="316"/>
    <x v="13"/>
    <x v="0"/>
    <x v="1"/>
    <n v="2"/>
    <x v="10"/>
    <x v="0"/>
    <s v="NetBanking"/>
    <x v="5"/>
    <x v="18"/>
    <x v="0"/>
    <x v="0"/>
  </r>
  <r>
    <n v="100318"/>
    <x v="317"/>
    <x v="7"/>
    <x v="3"/>
    <x v="0"/>
    <n v="3"/>
    <x v="1"/>
    <x v="0"/>
    <s v="NetBanking"/>
    <x v="4"/>
    <x v="6"/>
    <x v="0"/>
    <x v="0"/>
  </r>
  <r>
    <n v="100319"/>
    <x v="318"/>
    <x v="17"/>
    <x v="6"/>
    <x v="0"/>
    <n v="1"/>
    <x v="0"/>
    <x v="0"/>
    <s v="Card"/>
    <x v="1"/>
    <x v="4"/>
    <x v="0"/>
    <x v="0"/>
  </r>
  <r>
    <n v="100320"/>
    <x v="319"/>
    <x v="19"/>
    <x v="1"/>
    <x v="0"/>
    <n v="2"/>
    <x v="8"/>
    <x v="0"/>
    <s v="Card"/>
    <x v="3"/>
    <x v="14"/>
    <x v="0"/>
    <x v="0"/>
  </r>
  <r>
    <n v="100321"/>
    <x v="320"/>
    <x v="0"/>
    <x v="6"/>
    <x v="1"/>
    <n v="3"/>
    <x v="10"/>
    <x v="0"/>
    <s v="UPI"/>
    <x v="0"/>
    <x v="33"/>
    <x v="0"/>
    <x v="0"/>
  </r>
  <r>
    <n v="100322"/>
    <x v="321"/>
    <x v="6"/>
    <x v="4"/>
    <x v="1"/>
    <n v="5"/>
    <x v="8"/>
    <x v="0"/>
    <s v="NetBanking"/>
    <x v="0"/>
    <x v="32"/>
    <x v="0"/>
    <x v="0"/>
  </r>
  <r>
    <n v="100323"/>
    <x v="322"/>
    <x v="19"/>
    <x v="4"/>
    <x v="0"/>
    <n v="3"/>
    <x v="6"/>
    <x v="0"/>
    <s v="Card"/>
    <x v="1"/>
    <x v="10"/>
    <x v="0"/>
    <x v="0"/>
  </r>
  <r>
    <n v="100324"/>
    <x v="323"/>
    <x v="1"/>
    <x v="4"/>
    <x v="0"/>
    <n v="3"/>
    <x v="0"/>
    <x v="0"/>
    <s v="UPI"/>
    <x v="3"/>
    <x v="37"/>
    <x v="0"/>
    <x v="0"/>
  </r>
  <r>
    <n v="100325"/>
    <x v="324"/>
    <x v="11"/>
    <x v="3"/>
    <x v="1"/>
    <n v="2"/>
    <x v="9"/>
    <x v="0"/>
    <s v="Card"/>
    <x v="6"/>
    <x v="22"/>
    <x v="0"/>
    <x v="0"/>
  </r>
  <r>
    <n v="100326"/>
    <x v="325"/>
    <x v="4"/>
    <x v="6"/>
    <x v="0"/>
    <n v="1"/>
    <x v="3"/>
    <x v="0"/>
    <s v="Cash"/>
    <x v="3"/>
    <x v="35"/>
    <x v="0"/>
    <x v="0"/>
  </r>
  <r>
    <n v="100327"/>
    <x v="326"/>
    <x v="18"/>
    <x v="2"/>
    <x v="1"/>
    <n v="3"/>
    <x v="9"/>
    <x v="0"/>
    <s v="Cash"/>
    <x v="2"/>
    <x v="16"/>
    <x v="0"/>
    <x v="0"/>
  </r>
  <r>
    <n v="100328"/>
    <x v="327"/>
    <x v="14"/>
    <x v="6"/>
    <x v="0"/>
    <n v="1"/>
    <x v="0"/>
    <x v="0"/>
    <s v="Card"/>
    <x v="2"/>
    <x v="4"/>
    <x v="0"/>
    <x v="0"/>
  </r>
  <r>
    <n v="100329"/>
    <x v="328"/>
    <x v="18"/>
    <x v="2"/>
    <x v="0"/>
    <n v="3"/>
    <x v="10"/>
    <x v="0"/>
    <s v="UPI"/>
    <x v="6"/>
    <x v="33"/>
    <x v="0"/>
    <x v="0"/>
  </r>
  <r>
    <n v="100330"/>
    <x v="329"/>
    <x v="9"/>
    <x v="0"/>
    <x v="1"/>
    <n v="3"/>
    <x v="3"/>
    <x v="0"/>
    <s v="Card"/>
    <x v="6"/>
    <x v="3"/>
    <x v="0"/>
    <x v="0"/>
  </r>
  <r>
    <n v="100331"/>
    <x v="330"/>
    <x v="5"/>
    <x v="2"/>
    <x v="0"/>
    <n v="1"/>
    <x v="1"/>
    <x v="0"/>
    <s v="Card"/>
    <x v="1"/>
    <x v="43"/>
    <x v="0"/>
    <x v="0"/>
  </r>
  <r>
    <n v="100332"/>
    <x v="331"/>
    <x v="2"/>
    <x v="5"/>
    <x v="0"/>
    <n v="2"/>
    <x v="10"/>
    <x v="0"/>
    <s v="Cash"/>
    <x v="3"/>
    <x v="18"/>
    <x v="0"/>
    <x v="0"/>
  </r>
  <r>
    <n v="100333"/>
    <x v="332"/>
    <x v="8"/>
    <x v="0"/>
    <x v="0"/>
    <n v="5"/>
    <x v="0"/>
    <x v="0"/>
    <s v="Card"/>
    <x v="5"/>
    <x v="0"/>
    <x v="0"/>
    <x v="0"/>
  </r>
  <r>
    <n v="100334"/>
    <x v="333"/>
    <x v="8"/>
    <x v="1"/>
    <x v="1"/>
    <n v="5"/>
    <x v="5"/>
    <x v="0"/>
    <s v="NetBanking"/>
    <x v="2"/>
    <x v="14"/>
    <x v="0"/>
    <x v="0"/>
  </r>
  <r>
    <n v="100335"/>
    <x v="334"/>
    <x v="5"/>
    <x v="1"/>
    <x v="0"/>
    <n v="1"/>
    <x v="6"/>
    <x v="0"/>
    <s v="UPI"/>
    <x v="6"/>
    <x v="19"/>
    <x v="0"/>
    <x v="0"/>
  </r>
  <r>
    <n v="100336"/>
    <x v="335"/>
    <x v="12"/>
    <x v="5"/>
    <x v="0"/>
    <n v="5"/>
    <x v="3"/>
    <x v="0"/>
    <s v="Card"/>
    <x v="6"/>
    <x v="10"/>
    <x v="0"/>
    <x v="0"/>
  </r>
  <r>
    <n v="100337"/>
    <x v="336"/>
    <x v="1"/>
    <x v="4"/>
    <x v="0"/>
    <n v="3"/>
    <x v="8"/>
    <x v="0"/>
    <s v="Cash"/>
    <x v="2"/>
    <x v="24"/>
    <x v="0"/>
    <x v="0"/>
  </r>
  <r>
    <n v="100338"/>
    <x v="337"/>
    <x v="13"/>
    <x v="5"/>
    <x v="0"/>
    <n v="5"/>
    <x v="8"/>
    <x v="0"/>
    <s v="Card"/>
    <x v="3"/>
    <x v="32"/>
    <x v="0"/>
    <x v="0"/>
  </r>
  <r>
    <n v="100339"/>
    <x v="338"/>
    <x v="10"/>
    <x v="6"/>
    <x v="1"/>
    <n v="5"/>
    <x v="7"/>
    <x v="0"/>
    <s v="UPI"/>
    <x v="3"/>
    <x v="38"/>
    <x v="0"/>
    <x v="0"/>
  </r>
  <r>
    <n v="100340"/>
    <x v="339"/>
    <x v="2"/>
    <x v="4"/>
    <x v="1"/>
    <n v="3"/>
    <x v="3"/>
    <x v="0"/>
    <s v="Card"/>
    <x v="0"/>
    <x v="3"/>
    <x v="0"/>
    <x v="0"/>
  </r>
  <r>
    <n v="100341"/>
    <x v="340"/>
    <x v="3"/>
    <x v="6"/>
    <x v="1"/>
    <n v="2"/>
    <x v="4"/>
    <x v="0"/>
    <s v="UPI"/>
    <x v="3"/>
    <x v="5"/>
    <x v="0"/>
    <x v="0"/>
  </r>
  <r>
    <n v="100342"/>
    <x v="341"/>
    <x v="15"/>
    <x v="2"/>
    <x v="0"/>
    <n v="4"/>
    <x v="1"/>
    <x v="0"/>
    <s v="NetBanking"/>
    <x v="0"/>
    <x v="39"/>
    <x v="0"/>
    <x v="0"/>
  </r>
  <r>
    <n v="100343"/>
    <x v="342"/>
    <x v="11"/>
    <x v="6"/>
    <x v="1"/>
    <n v="3"/>
    <x v="4"/>
    <x v="0"/>
    <s v="Card"/>
    <x v="3"/>
    <x v="23"/>
    <x v="0"/>
    <x v="0"/>
  </r>
  <r>
    <n v="100344"/>
    <x v="343"/>
    <x v="4"/>
    <x v="2"/>
    <x v="0"/>
    <n v="3"/>
    <x v="3"/>
    <x v="0"/>
    <s v="UPI"/>
    <x v="1"/>
    <x v="3"/>
    <x v="0"/>
    <x v="0"/>
  </r>
  <r>
    <n v="100345"/>
    <x v="344"/>
    <x v="9"/>
    <x v="6"/>
    <x v="0"/>
    <n v="5"/>
    <x v="4"/>
    <x v="0"/>
    <s v="UPI"/>
    <x v="1"/>
    <x v="31"/>
    <x v="0"/>
    <x v="0"/>
  </r>
  <r>
    <n v="100346"/>
    <x v="345"/>
    <x v="9"/>
    <x v="5"/>
    <x v="1"/>
    <n v="4"/>
    <x v="9"/>
    <x v="0"/>
    <s v="NetBanking"/>
    <x v="0"/>
    <x v="27"/>
    <x v="0"/>
    <x v="0"/>
  </r>
  <r>
    <n v="100347"/>
    <x v="346"/>
    <x v="15"/>
    <x v="5"/>
    <x v="1"/>
    <n v="4"/>
    <x v="10"/>
    <x v="0"/>
    <s v="Cash"/>
    <x v="4"/>
    <x v="15"/>
    <x v="0"/>
    <x v="0"/>
  </r>
  <r>
    <n v="100348"/>
    <x v="347"/>
    <x v="0"/>
    <x v="5"/>
    <x v="0"/>
    <n v="2"/>
    <x v="3"/>
    <x v="0"/>
    <s v="Cash"/>
    <x v="4"/>
    <x v="17"/>
    <x v="0"/>
    <x v="0"/>
  </r>
  <r>
    <n v="100349"/>
    <x v="348"/>
    <x v="6"/>
    <x v="5"/>
    <x v="1"/>
    <n v="5"/>
    <x v="10"/>
    <x v="0"/>
    <s v="UPI"/>
    <x v="4"/>
    <x v="25"/>
    <x v="0"/>
    <x v="0"/>
  </r>
  <r>
    <n v="100350"/>
    <x v="349"/>
    <x v="10"/>
    <x v="0"/>
    <x v="1"/>
    <n v="5"/>
    <x v="9"/>
    <x v="0"/>
    <s v="UPI"/>
    <x v="2"/>
    <x v="12"/>
    <x v="0"/>
    <x v="0"/>
  </r>
  <r>
    <n v="100351"/>
    <x v="350"/>
    <x v="19"/>
    <x v="2"/>
    <x v="1"/>
    <n v="4"/>
    <x v="5"/>
    <x v="0"/>
    <s v="UPI"/>
    <x v="4"/>
    <x v="34"/>
    <x v="0"/>
    <x v="0"/>
  </r>
  <r>
    <n v="100352"/>
    <x v="351"/>
    <x v="1"/>
    <x v="5"/>
    <x v="1"/>
    <n v="4"/>
    <x v="1"/>
    <x v="0"/>
    <s v="Card"/>
    <x v="0"/>
    <x v="39"/>
    <x v="0"/>
    <x v="0"/>
  </r>
  <r>
    <n v="100353"/>
    <x v="352"/>
    <x v="2"/>
    <x v="4"/>
    <x v="0"/>
    <n v="2"/>
    <x v="8"/>
    <x v="0"/>
    <s v="UPI"/>
    <x v="0"/>
    <x v="14"/>
    <x v="0"/>
    <x v="0"/>
  </r>
  <r>
    <n v="100354"/>
    <x v="353"/>
    <x v="7"/>
    <x v="4"/>
    <x v="1"/>
    <n v="5"/>
    <x v="6"/>
    <x v="0"/>
    <s v="UPI"/>
    <x v="1"/>
    <x v="8"/>
    <x v="0"/>
    <x v="0"/>
  </r>
  <r>
    <n v="100355"/>
    <x v="354"/>
    <x v="4"/>
    <x v="4"/>
    <x v="0"/>
    <n v="2"/>
    <x v="5"/>
    <x v="0"/>
    <s v="Cash"/>
    <x v="2"/>
    <x v="16"/>
    <x v="0"/>
    <x v="0"/>
  </r>
  <r>
    <n v="100356"/>
    <x v="355"/>
    <x v="1"/>
    <x v="4"/>
    <x v="0"/>
    <n v="3"/>
    <x v="8"/>
    <x v="0"/>
    <s v="Cash"/>
    <x v="0"/>
    <x v="24"/>
    <x v="0"/>
    <x v="0"/>
  </r>
  <r>
    <n v="100357"/>
    <x v="356"/>
    <x v="14"/>
    <x v="0"/>
    <x v="0"/>
    <n v="2"/>
    <x v="8"/>
    <x v="0"/>
    <s v="Card"/>
    <x v="4"/>
    <x v="14"/>
    <x v="0"/>
    <x v="0"/>
  </r>
  <r>
    <n v="100358"/>
    <x v="357"/>
    <x v="19"/>
    <x v="0"/>
    <x v="1"/>
    <n v="3"/>
    <x v="10"/>
    <x v="0"/>
    <s v="NetBanking"/>
    <x v="3"/>
    <x v="33"/>
    <x v="0"/>
    <x v="0"/>
  </r>
  <r>
    <n v="100359"/>
    <x v="358"/>
    <x v="17"/>
    <x v="3"/>
    <x v="1"/>
    <n v="1"/>
    <x v="8"/>
    <x v="0"/>
    <s v="Card"/>
    <x v="6"/>
    <x v="11"/>
    <x v="0"/>
    <x v="0"/>
  </r>
  <r>
    <n v="100360"/>
    <x v="359"/>
    <x v="13"/>
    <x v="3"/>
    <x v="1"/>
    <n v="2"/>
    <x v="4"/>
    <x v="0"/>
    <s v="Cash"/>
    <x v="4"/>
    <x v="5"/>
    <x v="0"/>
    <x v="0"/>
  </r>
  <r>
    <n v="100361"/>
    <x v="360"/>
    <x v="5"/>
    <x v="5"/>
    <x v="0"/>
    <n v="5"/>
    <x v="6"/>
    <x v="0"/>
    <s v="UPI"/>
    <x v="1"/>
    <x v="8"/>
    <x v="0"/>
    <x v="0"/>
  </r>
  <r>
    <n v="100362"/>
    <x v="361"/>
    <x v="12"/>
    <x v="3"/>
    <x v="0"/>
    <n v="5"/>
    <x v="5"/>
    <x v="0"/>
    <s v="Cash"/>
    <x v="1"/>
    <x v="14"/>
    <x v="0"/>
    <x v="0"/>
  </r>
  <r>
    <n v="100363"/>
    <x v="362"/>
    <x v="5"/>
    <x v="1"/>
    <x v="0"/>
    <n v="4"/>
    <x v="1"/>
    <x v="0"/>
    <s v="NetBanking"/>
    <x v="1"/>
    <x v="39"/>
    <x v="0"/>
    <x v="0"/>
  </r>
  <r>
    <n v="100364"/>
    <x v="363"/>
    <x v="15"/>
    <x v="5"/>
    <x v="1"/>
    <n v="1"/>
    <x v="6"/>
    <x v="0"/>
    <s v="UPI"/>
    <x v="6"/>
    <x v="19"/>
    <x v="0"/>
    <x v="0"/>
  </r>
  <r>
    <n v="100365"/>
    <x v="364"/>
    <x v="16"/>
    <x v="3"/>
    <x v="1"/>
    <n v="4"/>
    <x v="7"/>
    <x v="0"/>
    <s v="Cash"/>
    <x v="4"/>
    <x v="9"/>
    <x v="0"/>
    <x v="0"/>
  </r>
  <r>
    <n v="100366"/>
    <x v="365"/>
    <x v="9"/>
    <x v="6"/>
    <x v="0"/>
    <n v="4"/>
    <x v="10"/>
    <x v="0"/>
    <s v="NetBanking"/>
    <x v="4"/>
    <x v="15"/>
    <x v="0"/>
    <x v="0"/>
  </r>
  <r>
    <n v="100367"/>
    <x v="366"/>
    <x v="11"/>
    <x v="1"/>
    <x v="1"/>
    <n v="5"/>
    <x v="0"/>
    <x v="0"/>
    <s v="UPI"/>
    <x v="5"/>
    <x v="0"/>
    <x v="0"/>
    <x v="0"/>
  </r>
  <r>
    <n v="100368"/>
    <x v="367"/>
    <x v="11"/>
    <x v="2"/>
    <x v="0"/>
    <n v="2"/>
    <x v="6"/>
    <x v="0"/>
    <s v="UPI"/>
    <x v="3"/>
    <x v="21"/>
    <x v="0"/>
    <x v="0"/>
  </r>
  <r>
    <n v="100369"/>
    <x v="368"/>
    <x v="2"/>
    <x v="4"/>
    <x v="0"/>
    <n v="3"/>
    <x v="1"/>
    <x v="0"/>
    <s v="NetBanking"/>
    <x v="5"/>
    <x v="6"/>
    <x v="0"/>
    <x v="0"/>
  </r>
  <r>
    <n v="100370"/>
    <x v="369"/>
    <x v="8"/>
    <x v="6"/>
    <x v="0"/>
    <n v="1"/>
    <x v="10"/>
    <x v="0"/>
    <s v="Cash"/>
    <x v="2"/>
    <x v="29"/>
    <x v="0"/>
    <x v="0"/>
  </r>
  <r>
    <n v="100371"/>
    <x v="370"/>
    <x v="14"/>
    <x v="1"/>
    <x v="0"/>
    <n v="4"/>
    <x v="4"/>
    <x v="0"/>
    <s v="NetBanking"/>
    <x v="6"/>
    <x v="36"/>
    <x v="0"/>
    <x v="0"/>
  </r>
  <r>
    <n v="100372"/>
    <x v="371"/>
    <x v="4"/>
    <x v="5"/>
    <x v="1"/>
    <n v="3"/>
    <x v="5"/>
    <x v="0"/>
    <s v="NetBanking"/>
    <x v="1"/>
    <x v="20"/>
    <x v="0"/>
    <x v="0"/>
  </r>
  <r>
    <n v="100373"/>
    <x v="372"/>
    <x v="19"/>
    <x v="0"/>
    <x v="0"/>
    <n v="4"/>
    <x v="2"/>
    <x v="1"/>
    <s v="Card"/>
    <x v="5"/>
    <x v="39"/>
    <x v="0"/>
    <x v="0"/>
  </r>
  <r>
    <n v="100374"/>
    <x v="373"/>
    <x v="11"/>
    <x v="4"/>
    <x v="0"/>
    <n v="1"/>
    <x v="1"/>
    <x v="0"/>
    <s v="Card"/>
    <x v="4"/>
    <x v="43"/>
    <x v="0"/>
    <x v="0"/>
  </r>
  <r>
    <n v="100375"/>
    <x v="374"/>
    <x v="14"/>
    <x v="2"/>
    <x v="0"/>
    <n v="1"/>
    <x v="8"/>
    <x v="0"/>
    <s v="Cash"/>
    <x v="5"/>
    <x v="11"/>
    <x v="0"/>
    <x v="0"/>
  </r>
  <r>
    <n v="100376"/>
    <x v="375"/>
    <x v="0"/>
    <x v="2"/>
    <x v="0"/>
    <n v="4"/>
    <x v="5"/>
    <x v="0"/>
    <s v="Cash"/>
    <x v="1"/>
    <x v="34"/>
    <x v="0"/>
    <x v="0"/>
  </r>
  <r>
    <n v="100377"/>
    <x v="376"/>
    <x v="15"/>
    <x v="5"/>
    <x v="0"/>
    <n v="3"/>
    <x v="1"/>
    <x v="0"/>
    <s v="UPI"/>
    <x v="6"/>
    <x v="6"/>
    <x v="0"/>
    <x v="0"/>
  </r>
  <r>
    <n v="100378"/>
    <x v="377"/>
    <x v="7"/>
    <x v="5"/>
    <x v="0"/>
    <n v="4"/>
    <x v="5"/>
    <x v="0"/>
    <s v="Card"/>
    <x v="3"/>
    <x v="34"/>
    <x v="0"/>
    <x v="0"/>
  </r>
  <r>
    <n v="100379"/>
    <x v="378"/>
    <x v="9"/>
    <x v="0"/>
    <x v="0"/>
    <n v="3"/>
    <x v="4"/>
    <x v="0"/>
    <s v="NetBanking"/>
    <x v="6"/>
    <x v="23"/>
    <x v="0"/>
    <x v="0"/>
  </r>
  <r>
    <n v="100380"/>
    <x v="379"/>
    <x v="14"/>
    <x v="4"/>
    <x v="0"/>
    <n v="4"/>
    <x v="0"/>
    <x v="0"/>
    <s v="Card"/>
    <x v="0"/>
    <x v="13"/>
    <x v="0"/>
    <x v="0"/>
  </r>
  <r>
    <n v="100381"/>
    <x v="380"/>
    <x v="5"/>
    <x v="3"/>
    <x v="0"/>
    <n v="5"/>
    <x v="1"/>
    <x v="0"/>
    <s v="Card"/>
    <x v="0"/>
    <x v="1"/>
    <x v="0"/>
    <x v="0"/>
  </r>
  <r>
    <n v="100382"/>
    <x v="381"/>
    <x v="15"/>
    <x v="4"/>
    <x v="0"/>
    <n v="3"/>
    <x v="5"/>
    <x v="0"/>
    <s v="NetBanking"/>
    <x v="1"/>
    <x v="20"/>
    <x v="0"/>
    <x v="0"/>
  </r>
  <r>
    <n v="100383"/>
    <x v="382"/>
    <x v="18"/>
    <x v="4"/>
    <x v="0"/>
    <n v="2"/>
    <x v="3"/>
    <x v="0"/>
    <s v="NetBanking"/>
    <x v="4"/>
    <x v="17"/>
    <x v="0"/>
    <x v="0"/>
  </r>
  <r>
    <n v="100384"/>
    <x v="383"/>
    <x v="15"/>
    <x v="2"/>
    <x v="0"/>
    <n v="2"/>
    <x v="7"/>
    <x v="0"/>
    <s v="UPI"/>
    <x v="6"/>
    <x v="26"/>
    <x v="0"/>
    <x v="0"/>
  </r>
  <r>
    <n v="100385"/>
    <x v="384"/>
    <x v="2"/>
    <x v="0"/>
    <x v="1"/>
    <n v="1"/>
    <x v="10"/>
    <x v="0"/>
    <s v="Card"/>
    <x v="0"/>
    <x v="29"/>
    <x v="0"/>
    <x v="0"/>
  </r>
  <r>
    <n v="100386"/>
    <x v="385"/>
    <x v="12"/>
    <x v="4"/>
    <x v="1"/>
    <n v="2"/>
    <x v="10"/>
    <x v="0"/>
    <s v="UPI"/>
    <x v="5"/>
    <x v="18"/>
    <x v="0"/>
    <x v="0"/>
  </r>
  <r>
    <n v="100387"/>
    <x v="386"/>
    <x v="18"/>
    <x v="6"/>
    <x v="1"/>
    <n v="3"/>
    <x v="1"/>
    <x v="0"/>
    <s v="Card"/>
    <x v="6"/>
    <x v="6"/>
    <x v="0"/>
    <x v="0"/>
  </r>
  <r>
    <n v="100388"/>
    <x v="387"/>
    <x v="1"/>
    <x v="6"/>
    <x v="0"/>
    <n v="3"/>
    <x v="7"/>
    <x v="0"/>
    <s v="Cash"/>
    <x v="6"/>
    <x v="40"/>
    <x v="0"/>
    <x v="0"/>
  </r>
  <r>
    <n v="100389"/>
    <x v="388"/>
    <x v="15"/>
    <x v="5"/>
    <x v="0"/>
    <n v="2"/>
    <x v="7"/>
    <x v="0"/>
    <s v="Card"/>
    <x v="5"/>
    <x v="26"/>
    <x v="0"/>
    <x v="0"/>
  </r>
  <r>
    <n v="100390"/>
    <x v="389"/>
    <x v="9"/>
    <x v="0"/>
    <x v="0"/>
    <n v="1"/>
    <x v="9"/>
    <x v="0"/>
    <s v="Card"/>
    <x v="5"/>
    <x v="30"/>
    <x v="0"/>
    <x v="0"/>
  </r>
  <r>
    <n v="100391"/>
    <x v="390"/>
    <x v="14"/>
    <x v="3"/>
    <x v="0"/>
    <n v="1"/>
    <x v="7"/>
    <x v="0"/>
    <s v="Cash"/>
    <x v="6"/>
    <x v="21"/>
    <x v="0"/>
    <x v="0"/>
  </r>
  <r>
    <n v="100392"/>
    <x v="391"/>
    <x v="14"/>
    <x v="1"/>
    <x v="0"/>
    <n v="2"/>
    <x v="7"/>
    <x v="0"/>
    <s v="Card"/>
    <x v="1"/>
    <x v="26"/>
    <x v="0"/>
    <x v="0"/>
  </r>
  <r>
    <n v="100393"/>
    <x v="392"/>
    <x v="0"/>
    <x v="4"/>
    <x v="0"/>
    <n v="5"/>
    <x v="8"/>
    <x v="0"/>
    <s v="Cash"/>
    <x v="5"/>
    <x v="32"/>
    <x v="0"/>
    <x v="0"/>
  </r>
  <r>
    <n v="100394"/>
    <x v="393"/>
    <x v="6"/>
    <x v="1"/>
    <x v="0"/>
    <n v="5"/>
    <x v="3"/>
    <x v="0"/>
    <s v="Card"/>
    <x v="1"/>
    <x v="10"/>
    <x v="0"/>
    <x v="0"/>
  </r>
  <r>
    <n v="100395"/>
    <x v="394"/>
    <x v="11"/>
    <x v="4"/>
    <x v="1"/>
    <n v="4"/>
    <x v="1"/>
    <x v="0"/>
    <s v="UPI"/>
    <x v="1"/>
    <x v="39"/>
    <x v="0"/>
    <x v="0"/>
  </r>
  <r>
    <n v="100396"/>
    <x v="395"/>
    <x v="15"/>
    <x v="2"/>
    <x v="1"/>
    <n v="2"/>
    <x v="1"/>
    <x v="0"/>
    <s v="NetBanking"/>
    <x v="3"/>
    <x v="28"/>
    <x v="0"/>
    <x v="0"/>
  </r>
  <r>
    <n v="100397"/>
    <x v="396"/>
    <x v="13"/>
    <x v="4"/>
    <x v="1"/>
    <n v="5"/>
    <x v="3"/>
    <x v="0"/>
    <s v="NetBanking"/>
    <x v="3"/>
    <x v="10"/>
    <x v="0"/>
    <x v="0"/>
  </r>
  <r>
    <n v="100398"/>
    <x v="397"/>
    <x v="15"/>
    <x v="1"/>
    <x v="0"/>
    <n v="3"/>
    <x v="6"/>
    <x v="0"/>
    <s v="UPI"/>
    <x v="1"/>
    <x v="10"/>
    <x v="0"/>
    <x v="0"/>
  </r>
  <r>
    <n v="100399"/>
    <x v="398"/>
    <x v="6"/>
    <x v="3"/>
    <x v="1"/>
    <n v="5"/>
    <x v="10"/>
    <x v="0"/>
    <s v="NetBanking"/>
    <x v="2"/>
    <x v="25"/>
    <x v="0"/>
    <x v="0"/>
  </r>
  <r>
    <n v="100400"/>
    <x v="399"/>
    <x v="8"/>
    <x v="4"/>
    <x v="1"/>
    <n v="2"/>
    <x v="4"/>
    <x v="0"/>
    <s v="UPI"/>
    <x v="0"/>
    <x v="5"/>
    <x v="0"/>
    <x v="0"/>
  </r>
  <r>
    <n v="100401"/>
    <x v="400"/>
    <x v="1"/>
    <x v="4"/>
    <x v="0"/>
    <n v="3"/>
    <x v="10"/>
    <x v="0"/>
    <s v="Cash"/>
    <x v="6"/>
    <x v="33"/>
    <x v="0"/>
    <x v="0"/>
  </r>
  <r>
    <n v="100402"/>
    <x v="401"/>
    <x v="13"/>
    <x v="5"/>
    <x v="0"/>
    <n v="4"/>
    <x v="6"/>
    <x v="0"/>
    <s v="Card"/>
    <x v="4"/>
    <x v="26"/>
    <x v="0"/>
    <x v="0"/>
  </r>
  <r>
    <n v="100403"/>
    <x v="402"/>
    <x v="5"/>
    <x v="2"/>
    <x v="0"/>
    <n v="4"/>
    <x v="1"/>
    <x v="0"/>
    <s v="NetBanking"/>
    <x v="6"/>
    <x v="39"/>
    <x v="0"/>
    <x v="0"/>
  </r>
  <r>
    <n v="100404"/>
    <x v="403"/>
    <x v="11"/>
    <x v="6"/>
    <x v="0"/>
    <n v="3"/>
    <x v="4"/>
    <x v="0"/>
    <s v="Cash"/>
    <x v="0"/>
    <x v="23"/>
    <x v="0"/>
    <x v="0"/>
  </r>
  <r>
    <n v="100405"/>
    <x v="404"/>
    <x v="15"/>
    <x v="6"/>
    <x v="0"/>
    <n v="2"/>
    <x v="5"/>
    <x v="0"/>
    <s v="Cash"/>
    <x v="1"/>
    <x v="16"/>
    <x v="0"/>
    <x v="0"/>
  </r>
  <r>
    <n v="100406"/>
    <x v="405"/>
    <x v="19"/>
    <x v="5"/>
    <x v="0"/>
    <n v="3"/>
    <x v="3"/>
    <x v="0"/>
    <s v="Cash"/>
    <x v="1"/>
    <x v="3"/>
    <x v="0"/>
    <x v="0"/>
  </r>
  <r>
    <n v="100407"/>
    <x v="406"/>
    <x v="6"/>
    <x v="3"/>
    <x v="0"/>
    <n v="2"/>
    <x v="1"/>
    <x v="0"/>
    <s v="Card"/>
    <x v="4"/>
    <x v="28"/>
    <x v="0"/>
    <x v="0"/>
  </r>
  <r>
    <n v="100408"/>
    <x v="407"/>
    <x v="14"/>
    <x v="0"/>
    <x v="0"/>
    <n v="3"/>
    <x v="6"/>
    <x v="0"/>
    <s v="Card"/>
    <x v="0"/>
    <x v="10"/>
    <x v="0"/>
    <x v="0"/>
  </r>
  <r>
    <n v="100409"/>
    <x v="408"/>
    <x v="14"/>
    <x v="0"/>
    <x v="0"/>
    <n v="1"/>
    <x v="8"/>
    <x v="0"/>
    <s v="UPI"/>
    <x v="1"/>
    <x v="11"/>
    <x v="0"/>
    <x v="0"/>
  </r>
  <r>
    <n v="100410"/>
    <x v="409"/>
    <x v="8"/>
    <x v="2"/>
    <x v="0"/>
    <n v="4"/>
    <x v="8"/>
    <x v="0"/>
    <s v="UPI"/>
    <x v="4"/>
    <x v="42"/>
    <x v="0"/>
    <x v="0"/>
  </r>
  <r>
    <n v="100411"/>
    <x v="410"/>
    <x v="12"/>
    <x v="1"/>
    <x v="0"/>
    <n v="5"/>
    <x v="10"/>
    <x v="0"/>
    <s v="UPI"/>
    <x v="6"/>
    <x v="25"/>
    <x v="0"/>
    <x v="0"/>
  </r>
  <r>
    <n v="100412"/>
    <x v="411"/>
    <x v="1"/>
    <x v="1"/>
    <x v="0"/>
    <n v="3"/>
    <x v="7"/>
    <x v="0"/>
    <s v="UPI"/>
    <x v="0"/>
    <x v="40"/>
    <x v="0"/>
    <x v="0"/>
  </r>
  <r>
    <n v="100413"/>
    <x v="412"/>
    <x v="9"/>
    <x v="4"/>
    <x v="0"/>
    <n v="4"/>
    <x v="3"/>
    <x v="0"/>
    <s v="Cash"/>
    <x v="3"/>
    <x v="2"/>
    <x v="0"/>
    <x v="0"/>
  </r>
  <r>
    <n v="100414"/>
    <x v="413"/>
    <x v="17"/>
    <x v="2"/>
    <x v="1"/>
    <n v="4"/>
    <x v="2"/>
    <x v="1"/>
    <s v="Card"/>
    <x v="2"/>
    <x v="26"/>
    <x v="0"/>
    <x v="0"/>
  </r>
  <r>
    <n v="100415"/>
    <x v="414"/>
    <x v="7"/>
    <x v="1"/>
    <x v="0"/>
    <n v="3"/>
    <x v="8"/>
    <x v="0"/>
    <s v="UPI"/>
    <x v="5"/>
    <x v="24"/>
    <x v="0"/>
    <x v="0"/>
  </r>
  <r>
    <n v="100416"/>
    <x v="415"/>
    <x v="11"/>
    <x v="6"/>
    <x v="0"/>
    <n v="5"/>
    <x v="0"/>
    <x v="0"/>
    <s v="UPI"/>
    <x v="6"/>
    <x v="0"/>
    <x v="0"/>
    <x v="0"/>
  </r>
  <r>
    <n v="100417"/>
    <x v="416"/>
    <x v="11"/>
    <x v="5"/>
    <x v="0"/>
    <n v="5"/>
    <x v="4"/>
    <x v="0"/>
    <s v="Cash"/>
    <x v="5"/>
    <x v="31"/>
    <x v="0"/>
    <x v="0"/>
  </r>
  <r>
    <n v="100418"/>
    <x v="417"/>
    <x v="5"/>
    <x v="3"/>
    <x v="0"/>
    <n v="3"/>
    <x v="9"/>
    <x v="0"/>
    <s v="NetBanking"/>
    <x v="0"/>
    <x v="16"/>
    <x v="0"/>
    <x v="0"/>
  </r>
  <r>
    <n v="100419"/>
    <x v="418"/>
    <x v="3"/>
    <x v="0"/>
    <x v="0"/>
    <n v="3"/>
    <x v="9"/>
    <x v="0"/>
    <s v="NetBanking"/>
    <x v="6"/>
    <x v="16"/>
    <x v="0"/>
    <x v="0"/>
  </r>
  <r>
    <n v="100420"/>
    <x v="419"/>
    <x v="15"/>
    <x v="5"/>
    <x v="1"/>
    <n v="1"/>
    <x v="1"/>
    <x v="0"/>
    <s v="UPI"/>
    <x v="3"/>
    <x v="43"/>
    <x v="0"/>
    <x v="0"/>
  </r>
  <r>
    <n v="100421"/>
    <x v="420"/>
    <x v="9"/>
    <x v="4"/>
    <x v="0"/>
    <n v="4"/>
    <x v="4"/>
    <x v="0"/>
    <s v="UPI"/>
    <x v="1"/>
    <x v="36"/>
    <x v="0"/>
    <x v="0"/>
  </r>
  <r>
    <n v="100422"/>
    <x v="421"/>
    <x v="7"/>
    <x v="5"/>
    <x v="0"/>
    <n v="2"/>
    <x v="3"/>
    <x v="0"/>
    <s v="UPI"/>
    <x v="4"/>
    <x v="17"/>
    <x v="0"/>
    <x v="0"/>
  </r>
  <r>
    <n v="100423"/>
    <x v="422"/>
    <x v="11"/>
    <x v="0"/>
    <x v="0"/>
    <n v="2"/>
    <x v="4"/>
    <x v="0"/>
    <s v="NetBanking"/>
    <x v="4"/>
    <x v="5"/>
    <x v="0"/>
    <x v="0"/>
  </r>
  <r>
    <n v="100424"/>
    <x v="423"/>
    <x v="11"/>
    <x v="6"/>
    <x v="1"/>
    <n v="5"/>
    <x v="6"/>
    <x v="0"/>
    <s v="Card"/>
    <x v="2"/>
    <x v="8"/>
    <x v="0"/>
    <x v="0"/>
  </r>
  <r>
    <n v="100425"/>
    <x v="424"/>
    <x v="4"/>
    <x v="4"/>
    <x v="0"/>
    <n v="2"/>
    <x v="5"/>
    <x v="0"/>
    <s v="Card"/>
    <x v="5"/>
    <x v="16"/>
    <x v="0"/>
    <x v="0"/>
  </r>
  <r>
    <n v="100426"/>
    <x v="425"/>
    <x v="13"/>
    <x v="6"/>
    <x v="0"/>
    <n v="3"/>
    <x v="1"/>
    <x v="0"/>
    <s v="Cash"/>
    <x v="1"/>
    <x v="6"/>
    <x v="0"/>
    <x v="0"/>
  </r>
  <r>
    <n v="100427"/>
    <x v="426"/>
    <x v="3"/>
    <x v="0"/>
    <x v="0"/>
    <n v="2"/>
    <x v="0"/>
    <x v="0"/>
    <s v="Cash"/>
    <x v="4"/>
    <x v="31"/>
    <x v="0"/>
    <x v="0"/>
  </r>
  <r>
    <n v="100428"/>
    <x v="427"/>
    <x v="9"/>
    <x v="0"/>
    <x v="1"/>
    <n v="5"/>
    <x v="0"/>
    <x v="0"/>
    <s v="Card"/>
    <x v="2"/>
    <x v="0"/>
    <x v="0"/>
    <x v="0"/>
  </r>
  <r>
    <n v="100429"/>
    <x v="428"/>
    <x v="19"/>
    <x v="6"/>
    <x v="1"/>
    <n v="5"/>
    <x v="3"/>
    <x v="0"/>
    <s v="Cash"/>
    <x v="2"/>
    <x v="10"/>
    <x v="0"/>
    <x v="0"/>
  </r>
  <r>
    <n v="100430"/>
    <x v="429"/>
    <x v="9"/>
    <x v="4"/>
    <x v="0"/>
    <n v="4"/>
    <x v="9"/>
    <x v="0"/>
    <s v="UPI"/>
    <x v="4"/>
    <x v="27"/>
    <x v="0"/>
    <x v="0"/>
  </r>
  <r>
    <n v="100431"/>
    <x v="430"/>
    <x v="18"/>
    <x v="6"/>
    <x v="0"/>
    <n v="1"/>
    <x v="4"/>
    <x v="0"/>
    <s v="UPI"/>
    <x v="5"/>
    <x v="41"/>
    <x v="0"/>
    <x v="0"/>
  </r>
  <r>
    <n v="100432"/>
    <x v="431"/>
    <x v="8"/>
    <x v="4"/>
    <x v="0"/>
    <n v="1"/>
    <x v="1"/>
    <x v="0"/>
    <s v="Cash"/>
    <x v="4"/>
    <x v="43"/>
    <x v="0"/>
    <x v="0"/>
  </r>
  <r>
    <n v="100433"/>
    <x v="432"/>
    <x v="5"/>
    <x v="2"/>
    <x v="0"/>
    <n v="3"/>
    <x v="8"/>
    <x v="0"/>
    <s v="NetBanking"/>
    <x v="1"/>
    <x v="24"/>
    <x v="0"/>
    <x v="0"/>
  </r>
  <r>
    <n v="100434"/>
    <x v="433"/>
    <x v="17"/>
    <x v="2"/>
    <x v="0"/>
    <n v="5"/>
    <x v="9"/>
    <x v="0"/>
    <s v="NetBanking"/>
    <x v="3"/>
    <x v="12"/>
    <x v="0"/>
    <x v="0"/>
  </r>
  <r>
    <n v="100435"/>
    <x v="434"/>
    <x v="7"/>
    <x v="4"/>
    <x v="0"/>
    <n v="2"/>
    <x v="1"/>
    <x v="0"/>
    <s v="Card"/>
    <x v="1"/>
    <x v="28"/>
    <x v="0"/>
    <x v="0"/>
  </r>
  <r>
    <n v="100436"/>
    <x v="435"/>
    <x v="12"/>
    <x v="6"/>
    <x v="0"/>
    <n v="4"/>
    <x v="1"/>
    <x v="0"/>
    <s v="NetBanking"/>
    <x v="0"/>
    <x v="39"/>
    <x v="0"/>
    <x v="0"/>
  </r>
  <r>
    <n v="100437"/>
    <x v="436"/>
    <x v="4"/>
    <x v="5"/>
    <x v="0"/>
    <n v="2"/>
    <x v="4"/>
    <x v="0"/>
    <s v="Card"/>
    <x v="6"/>
    <x v="5"/>
    <x v="0"/>
    <x v="0"/>
  </r>
  <r>
    <n v="100438"/>
    <x v="437"/>
    <x v="13"/>
    <x v="5"/>
    <x v="0"/>
    <n v="4"/>
    <x v="5"/>
    <x v="0"/>
    <s v="NetBanking"/>
    <x v="3"/>
    <x v="34"/>
    <x v="0"/>
    <x v="0"/>
  </r>
  <r>
    <n v="100439"/>
    <x v="438"/>
    <x v="8"/>
    <x v="4"/>
    <x v="0"/>
    <n v="5"/>
    <x v="10"/>
    <x v="0"/>
    <s v="NetBanking"/>
    <x v="0"/>
    <x v="25"/>
    <x v="0"/>
    <x v="0"/>
  </r>
  <r>
    <n v="100440"/>
    <x v="439"/>
    <x v="5"/>
    <x v="0"/>
    <x v="1"/>
    <n v="1"/>
    <x v="2"/>
    <x v="1"/>
    <s v="Cash"/>
    <x v="1"/>
    <x v="30"/>
    <x v="0"/>
    <x v="0"/>
  </r>
  <r>
    <n v="100441"/>
    <x v="440"/>
    <x v="16"/>
    <x v="5"/>
    <x v="1"/>
    <n v="2"/>
    <x v="1"/>
    <x v="0"/>
    <s v="Card"/>
    <x v="3"/>
    <x v="28"/>
    <x v="0"/>
    <x v="0"/>
  </r>
  <r>
    <n v="100442"/>
    <x v="441"/>
    <x v="0"/>
    <x v="6"/>
    <x v="0"/>
    <n v="1"/>
    <x v="10"/>
    <x v="0"/>
    <s v="NetBanking"/>
    <x v="5"/>
    <x v="29"/>
    <x v="0"/>
    <x v="0"/>
  </r>
  <r>
    <n v="100443"/>
    <x v="442"/>
    <x v="6"/>
    <x v="1"/>
    <x v="0"/>
    <n v="5"/>
    <x v="6"/>
    <x v="0"/>
    <s v="NetBanking"/>
    <x v="1"/>
    <x v="8"/>
    <x v="0"/>
    <x v="0"/>
  </r>
  <r>
    <n v="100444"/>
    <x v="443"/>
    <x v="17"/>
    <x v="4"/>
    <x v="0"/>
    <n v="5"/>
    <x v="4"/>
    <x v="0"/>
    <s v="NetBanking"/>
    <x v="3"/>
    <x v="31"/>
    <x v="0"/>
    <x v="0"/>
  </r>
  <r>
    <n v="100445"/>
    <x v="444"/>
    <x v="19"/>
    <x v="0"/>
    <x v="0"/>
    <n v="2"/>
    <x v="7"/>
    <x v="0"/>
    <s v="NetBanking"/>
    <x v="3"/>
    <x v="26"/>
    <x v="0"/>
    <x v="0"/>
  </r>
  <r>
    <n v="100446"/>
    <x v="445"/>
    <x v="3"/>
    <x v="3"/>
    <x v="0"/>
    <n v="5"/>
    <x v="10"/>
    <x v="0"/>
    <s v="Cash"/>
    <x v="2"/>
    <x v="25"/>
    <x v="0"/>
    <x v="0"/>
  </r>
  <r>
    <n v="100447"/>
    <x v="446"/>
    <x v="6"/>
    <x v="0"/>
    <x v="1"/>
    <n v="3"/>
    <x v="8"/>
    <x v="0"/>
    <s v="Card"/>
    <x v="6"/>
    <x v="24"/>
    <x v="0"/>
    <x v="0"/>
  </r>
  <r>
    <n v="100448"/>
    <x v="447"/>
    <x v="6"/>
    <x v="1"/>
    <x v="0"/>
    <n v="2"/>
    <x v="3"/>
    <x v="0"/>
    <s v="Cash"/>
    <x v="2"/>
    <x v="17"/>
    <x v="0"/>
    <x v="0"/>
  </r>
  <r>
    <n v="100449"/>
    <x v="448"/>
    <x v="13"/>
    <x v="4"/>
    <x v="1"/>
    <n v="1"/>
    <x v="3"/>
    <x v="0"/>
    <s v="UPI"/>
    <x v="5"/>
    <x v="35"/>
    <x v="0"/>
    <x v="0"/>
  </r>
  <r>
    <n v="100450"/>
    <x v="449"/>
    <x v="15"/>
    <x v="6"/>
    <x v="0"/>
    <n v="3"/>
    <x v="4"/>
    <x v="0"/>
    <s v="Card"/>
    <x v="3"/>
    <x v="23"/>
    <x v="0"/>
    <x v="0"/>
  </r>
  <r>
    <n v="100451"/>
    <x v="450"/>
    <x v="16"/>
    <x v="6"/>
    <x v="0"/>
    <n v="4"/>
    <x v="1"/>
    <x v="0"/>
    <s v="NetBanking"/>
    <x v="6"/>
    <x v="39"/>
    <x v="0"/>
    <x v="0"/>
  </r>
  <r>
    <n v="100452"/>
    <x v="451"/>
    <x v="7"/>
    <x v="2"/>
    <x v="0"/>
    <n v="1"/>
    <x v="1"/>
    <x v="0"/>
    <s v="Cash"/>
    <x v="1"/>
    <x v="43"/>
    <x v="0"/>
    <x v="0"/>
  </r>
  <r>
    <n v="100453"/>
    <x v="452"/>
    <x v="12"/>
    <x v="1"/>
    <x v="0"/>
    <n v="3"/>
    <x v="5"/>
    <x v="0"/>
    <s v="Card"/>
    <x v="2"/>
    <x v="20"/>
    <x v="0"/>
    <x v="0"/>
  </r>
  <r>
    <n v="100454"/>
    <x v="453"/>
    <x v="7"/>
    <x v="4"/>
    <x v="1"/>
    <n v="4"/>
    <x v="7"/>
    <x v="0"/>
    <s v="Cash"/>
    <x v="5"/>
    <x v="9"/>
    <x v="0"/>
    <x v="0"/>
  </r>
  <r>
    <n v="100455"/>
    <x v="454"/>
    <x v="14"/>
    <x v="0"/>
    <x v="0"/>
    <n v="3"/>
    <x v="10"/>
    <x v="0"/>
    <s v="Card"/>
    <x v="1"/>
    <x v="33"/>
    <x v="0"/>
    <x v="0"/>
  </r>
  <r>
    <n v="100456"/>
    <x v="455"/>
    <x v="6"/>
    <x v="0"/>
    <x v="0"/>
    <n v="1"/>
    <x v="5"/>
    <x v="0"/>
    <s v="Card"/>
    <x v="6"/>
    <x v="7"/>
    <x v="0"/>
    <x v="0"/>
  </r>
  <r>
    <n v="100457"/>
    <x v="456"/>
    <x v="17"/>
    <x v="1"/>
    <x v="0"/>
    <n v="3"/>
    <x v="6"/>
    <x v="0"/>
    <s v="NetBanking"/>
    <x v="3"/>
    <x v="10"/>
    <x v="0"/>
    <x v="0"/>
  </r>
  <r>
    <n v="100458"/>
    <x v="457"/>
    <x v="12"/>
    <x v="4"/>
    <x v="0"/>
    <n v="2"/>
    <x v="2"/>
    <x v="1"/>
    <s v="NetBanking"/>
    <x v="5"/>
    <x v="17"/>
    <x v="0"/>
    <x v="0"/>
  </r>
  <r>
    <n v="100459"/>
    <x v="458"/>
    <x v="0"/>
    <x v="0"/>
    <x v="1"/>
    <n v="3"/>
    <x v="10"/>
    <x v="0"/>
    <s v="Card"/>
    <x v="6"/>
    <x v="33"/>
    <x v="0"/>
    <x v="0"/>
  </r>
  <r>
    <n v="100460"/>
    <x v="459"/>
    <x v="15"/>
    <x v="5"/>
    <x v="1"/>
    <n v="5"/>
    <x v="9"/>
    <x v="0"/>
    <s v="UPI"/>
    <x v="2"/>
    <x v="12"/>
    <x v="0"/>
    <x v="0"/>
  </r>
  <r>
    <n v="100461"/>
    <x v="460"/>
    <x v="9"/>
    <x v="3"/>
    <x v="1"/>
    <n v="5"/>
    <x v="0"/>
    <x v="0"/>
    <s v="Cash"/>
    <x v="3"/>
    <x v="0"/>
    <x v="0"/>
    <x v="0"/>
  </r>
  <r>
    <n v="100462"/>
    <x v="461"/>
    <x v="12"/>
    <x v="1"/>
    <x v="1"/>
    <n v="2"/>
    <x v="6"/>
    <x v="0"/>
    <s v="Cash"/>
    <x v="1"/>
    <x v="21"/>
    <x v="0"/>
    <x v="0"/>
  </r>
  <r>
    <n v="100463"/>
    <x v="462"/>
    <x v="19"/>
    <x v="2"/>
    <x v="0"/>
    <n v="4"/>
    <x v="10"/>
    <x v="0"/>
    <s v="Cash"/>
    <x v="3"/>
    <x v="15"/>
    <x v="0"/>
    <x v="0"/>
  </r>
  <r>
    <n v="100464"/>
    <x v="463"/>
    <x v="7"/>
    <x v="6"/>
    <x v="0"/>
    <n v="5"/>
    <x v="5"/>
    <x v="0"/>
    <s v="Cash"/>
    <x v="2"/>
    <x v="14"/>
    <x v="0"/>
    <x v="0"/>
  </r>
  <r>
    <n v="100465"/>
    <x v="464"/>
    <x v="16"/>
    <x v="0"/>
    <x v="0"/>
    <n v="5"/>
    <x v="6"/>
    <x v="0"/>
    <s v="Card"/>
    <x v="4"/>
    <x v="8"/>
    <x v="0"/>
    <x v="0"/>
  </r>
  <r>
    <n v="100466"/>
    <x v="465"/>
    <x v="12"/>
    <x v="3"/>
    <x v="0"/>
    <n v="2"/>
    <x v="5"/>
    <x v="0"/>
    <s v="UPI"/>
    <x v="1"/>
    <x v="16"/>
    <x v="0"/>
    <x v="0"/>
  </r>
  <r>
    <n v="100467"/>
    <x v="466"/>
    <x v="12"/>
    <x v="4"/>
    <x v="1"/>
    <n v="4"/>
    <x v="6"/>
    <x v="0"/>
    <s v="Card"/>
    <x v="2"/>
    <x v="26"/>
    <x v="0"/>
    <x v="0"/>
  </r>
  <r>
    <n v="100468"/>
    <x v="467"/>
    <x v="1"/>
    <x v="0"/>
    <x v="0"/>
    <n v="1"/>
    <x v="8"/>
    <x v="0"/>
    <s v="NetBanking"/>
    <x v="0"/>
    <x v="11"/>
    <x v="0"/>
    <x v="0"/>
  </r>
  <r>
    <n v="100469"/>
    <x v="468"/>
    <x v="14"/>
    <x v="1"/>
    <x v="0"/>
    <n v="5"/>
    <x v="8"/>
    <x v="0"/>
    <s v="NetBanking"/>
    <x v="3"/>
    <x v="32"/>
    <x v="0"/>
    <x v="0"/>
  </r>
  <r>
    <n v="100470"/>
    <x v="469"/>
    <x v="19"/>
    <x v="4"/>
    <x v="1"/>
    <n v="5"/>
    <x v="5"/>
    <x v="0"/>
    <s v="Card"/>
    <x v="4"/>
    <x v="14"/>
    <x v="0"/>
    <x v="0"/>
  </r>
  <r>
    <n v="100471"/>
    <x v="470"/>
    <x v="5"/>
    <x v="3"/>
    <x v="0"/>
    <n v="5"/>
    <x v="4"/>
    <x v="0"/>
    <s v="NetBanking"/>
    <x v="1"/>
    <x v="31"/>
    <x v="0"/>
    <x v="0"/>
  </r>
  <r>
    <n v="100472"/>
    <x v="471"/>
    <x v="12"/>
    <x v="3"/>
    <x v="0"/>
    <n v="1"/>
    <x v="1"/>
    <x v="0"/>
    <s v="NetBanking"/>
    <x v="0"/>
    <x v="43"/>
    <x v="0"/>
    <x v="0"/>
  </r>
  <r>
    <n v="100473"/>
    <x v="472"/>
    <x v="6"/>
    <x v="5"/>
    <x v="0"/>
    <n v="4"/>
    <x v="5"/>
    <x v="0"/>
    <s v="Card"/>
    <x v="0"/>
    <x v="34"/>
    <x v="0"/>
    <x v="0"/>
  </r>
  <r>
    <n v="100474"/>
    <x v="473"/>
    <x v="9"/>
    <x v="6"/>
    <x v="1"/>
    <n v="1"/>
    <x v="7"/>
    <x v="0"/>
    <s v="UPI"/>
    <x v="3"/>
    <x v="21"/>
    <x v="0"/>
    <x v="0"/>
  </r>
  <r>
    <n v="100475"/>
    <x v="474"/>
    <x v="16"/>
    <x v="4"/>
    <x v="0"/>
    <n v="3"/>
    <x v="5"/>
    <x v="0"/>
    <s v="NetBanking"/>
    <x v="1"/>
    <x v="20"/>
    <x v="0"/>
    <x v="0"/>
  </r>
  <r>
    <n v="100476"/>
    <x v="475"/>
    <x v="5"/>
    <x v="2"/>
    <x v="1"/>
    <n v="1"/>
    <x v="1"/>
    <x v="0"/>
    <s v="NetBanking"/>
    <x v="5"/>
    <x v="43"/>
    <x v="0"/>
    <x v="0"/>
  </r>
  <r>
    <n v="100477"/>
    <x v="476"/>
    <x v="9"/>
    <x v="6"/>
    <x v="0"/>
    <n v="1"/>
    <x v="3"/>
    <x v="0"/>
    <s v="NetBanking"/>
    <x v="0"/>
    <x v="35"/>
    <x v="0"/>
    <x v="0"/>
  </r>
  <r>
    <n v="100478"/>
    <x v="477"/>
    <x v="16"/>
    <x v="4"/>
    <x v="0"/>
    <n v="4"/>
    <x v="9"/>
    <x v="0"/>
    <s v="Card"/>
    <x v="6"/>
    <x v="27"/>
    <x v="0"/>
    <x v="0"/>
  </r>
  <r>
    <n v="100479"/>
    <x v="478"/>
    <x v="0"/>
    <x v="5"/>
    <x v="0"/>
    <n v="2"/>
    <x v="8"/>
    <x v="0"/>
    <s v="NetBanking"/>
    <x v="5"/>
    <x v="14"/>
    <x v="0"/>
    <x v="0"/>
  </r>
  <r>
    <n v="100480"/>
    <x v="479"/>
    <x v="18"/>
    <x v="4"/>
    <x v="0"/>
    <n v="1"/>
    <x v="7"/>
    <x v="0"/>
    <s v="Card"/>
    <x v="4"/>
    <x v="21"/>
    <x v="0"/>
    <x v="0"/>
  </r>
  <r>
    <n v="100481"/>
    <x v="480"/>
    <x v="1"/>
    <x v="5"/>
    <x v="1"/>
    <n v="5"/>
    <x v="9"/>
    <x v="0"/>
    <s v="UPI"/>
    <x v="5"/>
    <x v="12"/>
    <x v="0"/>
    <x v="0"/>
  </r>
  <r>
    <n v="100482"/>
    <x v="481"/>
    <x v="5"/>
    <x v="3"/>
    <x v="0"/>
    <n v="3"/>
    <x v="4"/>
    <x v="0"/>
    <s v="Card"/>
    <x v="3"/>
    <x v="23"/>
    <x v="0"/>
    <x v="0"/>
  </r>
  <r>
    <n v="100483"/>
    <x v="482"/>
    <x v="2"/>
    <x v="1"/>
    <x v="1"/>
    <n v="3"/>
    <x v="5"/>
    <x v="0"/>
    <s v="Card"/>
    <x v="6"/>
    <x v="20"/>
    <x v="0"/>
    <x v="0"/>
  </r>
  <r>
    <n v="100484"/>
    <x v="483"/>
    <x v="14"/>
    <x v="3"/>
    <x v="0"/>
    <n v="5"/>
    <x v="4"/>
    <x v="0"/>
    <s v="NetBanking"/>
    <x v="6"/>
    <x v="31"/>
    <x v="0"/>
    <x v="0"/>
  </r>
  <r>
    <n v="100485"/>
    <x v="484"/>
    <x v="15"/>
    <x v="4"/>
    <x v="0"/>
    <n v="4"/>
    <x v="4"/>
    <x v="0"/>
    <s v="Card"/>
    <x v="0"/>
    <x v="36"/>
    <x v="0"/>
    <x v="0"/>
  </r>
  <r>
    <n v="100486"/>
    <x v="485"/>
    <x v="7"/>
    <x v="1"/>
    <x v="0"/>
    <n v="1"/>
    <x v="1"/>
    <x v="0"/>
    <s v="UPI"/>
    <x v="4"/>
    <x v="43"/>
    <x v="0"/>
    <x v="0"/>
  </r>
  <r>
    <n v="100487"/>
    <x v="486"/>
    <x v="9"/>
    <x v="1"/>
    <x v="0"/>
    <n v="4"/>
    <x v="6"/>
    <x v="0"/>
    <s v="UPI"/>
    <x v="2"/>
    <x v="26"/>
    <x v="0"/>
    <x v="0"/>
  </r>
  <r>
    <n v="100488"/>
    <x v="487"/>
    <x v="1"/>
    <x v="3"/>
    <x v="1"/>
    <n v="4"/>
    <x v="2"/>
    <x v="1"/>
    <s v="NetBanking"/>
    <x v="3"/>
    <x v="2"/>
    <x v="0"/>
    <x v="0"/>
  </r>
  <r>
    <n v="100489"/>
    <x v="488"/>
    <x v="6"/>
    <x v="5"/>
    <x v="0"/>
    <n v="1"/>
    <x v="1"/>
    <x v="0"/>
    <s v="Cash"/>
    <x v="6"/>
    <x v="43"/>
    <x v="0"/>
    <x v="0"/>
  </r>
  <r>
    <n v="100490"/>
    <x v="489"/>
    <x v="14"/>
    <x v="5"/>
    <x v="0"/>
    <n v="5"/>
    <x v="9"/>
    <x v="0"/>
    <s v="Card"/>
    <x v="6"/>
    <x v="12"/>
    <x v="0"/>
    <x v="0"/>
  </r>
  <r>
    <n v="100491"/>
    <x v="490"/>
    <x v="0"/>
    <x v="5"/>
    <x v="0"/>
    <n v="1"/>
    <x v="7"/>
    <x v="0"/>
    <s v="Card"/>
    <x v="1"/>
    <x v="21"/>
    <x v="0"/>
    <x v="0"/>
  </r>
  <r>
    <n v="100492"/>
    <x v="491"/>
    <x v="19"/>
    <x v="4"/>
    <x v="0"/>
    <n v="2"/>
    <x v="3"/>
    <x v="0"/>
    <s v="Card"/>
    <x v="2"/>
    <x v="17"/>
    <x v="0"/>
    <x v="0"/>
  </r>
  <r>
    <n v="100493"/>
    <x v="492"/>
    <x v="13"/>
    <x v="4"/>
    <x v="0"/>
    <n v="4"/>
    <x v="1"/>
    <x v="0"/>
    <s v="UPI"/>
    <x v="1"/>
    <x v="39"/>
    <x v="0"/>
    <x v="0"/>
  </r>
  <r>
    <n v="100494"/>
    <x v="493"/>
    <x v="0"/>
    <x v="1"/>
    <x v="0"/>
    <n v="4"/>
    <x v="4"/>
    <x v="0"/>
    <s v="Cash"/>
    <x v="4"/>
    <x v="36"/>
    <x v="0"/>
    <x v="0"/>
  </r>
  <r>
    <n v="100495"/>
    <x v="494"/>
    <x v="18"/>
    <x v="6"/>
    <x v="0"/>
    <n v="4"/>
    <x v="7"/>
    <x v="0"/>
    <s v="Cash"/>
    <x v="1"/>
    <x v="9"/>
    <x v="0"/>
    <x v="0"/>
  </r>
  <r>
    <n v="100496"/>
    <x v="495"/>
    <x v="15"/>
    <x v="6"/>
    <x v="0"/>
    <n v="3"/>
    <x v="10"/>
    <x v="0"/>
    <s v="NetBanking"/>
    <x v="3"/>
    <x v="33"/>
    <x v="0"/>
    <x v="0"/>
  </r>
  <r>
    <n v="100497"/>
    <x v="496"/>
    <x v="7"/>
    <x v="2"/>
    <x v="0"/>
    <n v="5"/>
    <x v="0"/>
    <x v="0"/>
    <s v="Card"/>
    <x v="4"/>
    <x v="0"/>
    <x v="0"/>
    <x v="0"/>
  </r>
  <r>
    <n v="100498"/>
    <x v="497"/>
    <x v="3"/>
    <x v="6"/>
    <x v="0"/>
    <n v="5"/>
    <x v="0"/>
    <x v="0"/>
    <s v="Card"/>
    <x v="5"/>
    <x v="0"/>
    <x v="0"/>
    <x v="0"/>
  </r>
  <r>
    <n v="100499"/>
    <x v="498"/>
    <x v="3"/>
    <x v="0"/>
    <x v="0"/>
    <n v="4"/>
    <x v="6"/>
    <x v="0"/>
    <s v="NetBanking"/>
    <x v="6"/>
    <x v="2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F0D2D-6C39-4678-875B-2A777419D173}" name="months"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N5" firstHeaderRow="1" firstDataRow="1" firstDataCol="1"/>
  <pivotFields count="13">
    <pivotField showAll="0"/>
    <pivotField numFmtId="164" showAll="0"/>
    <pivotField showAll="0"/>
    <pivotField showAll="0">
      <items count="8">
        <item x="2"/>
        <item x="1"/>
        <item x="6"/>
        <item x="0"/>
        <item x="5"/>
        <item x="3"/>
        <item x="4"/>
        <item t="default"/>
      </items>
    </pivotField>
    <pivotField showAll="0">
      <items count="3">
        <item x="1"/>
        <item x="0"/>
        <item t="default"/>
      </items>
    </pivotField>
    <pivotField showAll="0"/>
    <pivotField dataField="1" showAll="0"/>
    <pivotField showAll="0"/>
    <pivotField showAll="0"/>
    <pivotField showAll="0">
      <items count="8">
        <item x="2"/>
        <item x="4"/>
        <item x="6"/>
        <item x="0"/>
        <item x="3"/>
        <item x="5"/>
        <item x="1"/>
        <item t="default"/>
      </items>
    </pivotField>
    <pivotField showAll="0">
      <items count="45">
        <item x="35"/>
        <item x="19"/>
        <item x="17"/>
        <item x="3"/>
        <item x="21"/>
        <item x="2"/>
        <item x="10"/>
        <item x="26"/>
        <item x="30"/>
        <item x="8"/>
        <item x="40"/>
        <item x="7"/>
        <item x="9"/>
        <item x="41"/>
        <item x="22"/>
        <item x="38"/>
        <item x="29"/>
        <item x="16"/>
        <item x="5"/>
        <item x="11"/>
        <item x="27"/>
        <item x="20"/>
        <item x="4"/>
        <item x="12"/>
        <item x="43"/>
        <item x="23"/>
        <item x="18"/>
        <item x="34"/>
        <item x="36"/>
        <item x="14"/>
        <item x="33"/>
        <item x="31"/>
        <item x="28"/>
        <item x="24"/>
        <item x="15"/>
        <item x="37"/>
        <item x="25"/>
        <item x="42"/>
        <item x="6"/>
        <item x="13"/>
        <item x="32"/>
        <item x="39"/>
        <item x="0"/>
        <item x="1"/>
        <item t="default"/>
      </items>
    </pivotField>
    <pivotField axis="axisRow" showAll="0">
      <items count="2">
        <item x="0"/>
        <item t="default"/>
      </items>
    </pivotField>
    <pivotField showAll="0">
      <items count="2">
        <item x="0"/>
        <item t="default"/>
      </items>
    </pivotField>
  </pivotFields>
  <rowFields count="1">
    <field x="11"/>
  </rowFields>
  <rowItems count="2">
    <i>
      <x/>
    </i>
    <i t="grand">
      <x/>
    </i>
  </rowItems>
  <colItems count="1">
    <i/>
  </colItems>
  <dataFields count="1">
    <dataField name="Sum of Price"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E8F45C-C469-420D-8479-5613A53D5F95}" name="People"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3:K24" firstHeaderRow="1" firstDataRow="1" firstDataCol="1"/>
  <pivotFields count="13">
    <pivotField showAll="0"/>
    <pivotField numFmtId="164" showAll="0"/>
    <pivotField axis="axisRow" showAll="0">
      <items count="21">
        <item x="19"/>
        <item x="8"/>
        <item x="0"/>
        <item x="17"/>
        <item x="4"/>
        <item x="15"/>
        <item x="14"/>
        <item x="5"/>
        <item x="10"/>
        <item x="18"/>
        <item x="12"/>
        <item x="13"/>
        <item x="6"/>
        <item x="3"/>
        <item x="2"/>
        <item x="11"/>
        <item x="9"/>
        <item x="7"/>
        <item x="1"/>
        <item x="16"/>
        <item t="default"/>
      </items>
    </pivotField>
    <pivotField showAll="0">
      <items count="8">
        <item x="2"/>
        <item x="1"/>
        <item x="6"/>
        <item x="0"/>
        <item x="5"/>
        <item x="3"/>
        <item x="4"/>
        <item t="default"/>
      </items>
    </pivotField>
    <pivotField showAll="0">
      <items count="3">
        <item x="1"/>
        <item x="0"/>
        <item t="default"/>
      </items>
    </pivotField>
    <pivotField showAll="0"/>
    <pivotField dataField="1" showAll="0"/>
    <pivotField showAll="0"/>
    <pivotField showAll="0"/>
    <pivotField showAll="0">
      <items count="8">
        <item x="2"/>
        <item x="4"/>
        <item x="6"/>
        <item x="0"/>
        <item x="3"/>
        <item x="5"/>
        <item x="1"/>
        <item t="default"/>
      </items>
    </pivotField>
    <pivotField showAll="0">
      <items count="45">
        <item x="35"/>
        <item x="19"/>
        <item x="17"/>
        <item x="3"/>
        <item x="21"/>
        <item x="2"/>
        <item x="10"/>
        <item x="26"/>
        <item x="30"/>
        <item x="8"/>
        <item x="40"/>
        <item x="7"/>
        <item x="9"/>
        <item x="41"/>
        <item x="22"/>
        <item x="38"/>
        <item x="29"/>
        <item x="16"/>
        <item x="5"/>
        <item x="11"/>
        <item x="27"/>
        <item x="20"/>
        <item x="4"/>
        <item x="12"/>
        <item x="43"/>
        <item x="23"/>
        <item x="18"/>
        <item x="34"/>
        <item x="36"/>
        <item x="14"/>
        <item x="33"/>
        <item x="31"/>
        <item x="28"/>
        <item x="24"/>
        <item x="15"/>
        <item x="37"/>
        <item x="25"/>
        <item x="42"/>
        <item x="6"/>
        <item x="13"/>
        <item x="32"/>
        <item x="39"/>
        <item x="0"/>
        <item x="1"/>
        <item t="default"/>
      </items>
    </pivotField>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ice" fld="6" baseField="0" baseItem="0" numFmtId="165"/>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2" count="1" selected="0">
            <x v="0"/>
          </reference>
        </references>
      </pivotArea>
    </chartFormat>
    <chartFormat chart="3" format="24">
      <pivotArea type="data" outline="0" fieldPosition="0">
        <references count="2">
          <reference field="4294967294" count="1" selected="0">
            <x v="0"/>
          </reference>
          <reference field="2" count="1" selected="0">
            <x v="1"/>
          </reference>
        </references>
      </pivotArea>
    </chartFormat>
    <chartFormat chart="3" format="25">
      <pivotArea type="data" outline="0" fieldPosition="0">
        <references count="2">
          <reference field="4294967294" count="1" selected="0">
            <x v="0"/>
          </reference>
          <reference field="2" count="1" selected="0">
            <x v="2"/>
          </reference>
        </references>
      </pivotArea>
    </chartFormat>
    <chartFormat chart="3" format="26">
      <pivotArea type="data" outline="0" fieldPosition="0">
        <references count="2">
          <reference field="4294967294" count="1" selected="0">
            <x v="0"/>
          </reference>
          <reference field="2" count="1" selected="0">
            <x v="3"/>
          </reference>
        </references>
      </pivotArea>
    </chartFormat>
    <chartFormat chart="3" format="27">
      <pivotArea type="data" outline="0" fieldPosition="0">
        <references count="2">
          <reference field="4294967294" count="1" selected="0">
            <x v="0"/>
          </reference>
          <reference field="2" count="1" selected="0">
            <x v="4"/>
          </reference>
        </references>
      </pivotArea>
    </chartFormat>
    <chartFormat chart="3" format="28">
      <pivotArea type="data" outline="0" fieldPosition="0">
        <references count="2">
          <reference field="4294967294" count="1" selected="0">
            <x v="0"/>
          </reference>
          <reference field="2" count="1" selected="0">
            <x v="5"/>
          </reference>
        </references>
      </pivotArea>
    </chartFormat>
    <chartFormat chart="3" format="29">
      <pivotArea type="data" outline="0" fieldPosition="0">
        <references count="2">
          <reference field="4294967294" count="1" selected="0">
            <x v="0"/>
          </reference>
          <reference field="2" count="1" selected="0">
            <x v="6"/>
          </reference>
        </references>
      </pivotArea>
    </chartFormat>
    <chartFormat chart="3" format="30">
      <pivotArea type="data" outline="0" fieldPosition="0">
        <references count="2">
          <reference field="4294967294" count="1" selected="0">
            <x v="0"/>
          </reference>
          <reference field="2" count="1" selected="0">
            <x v="7"/>
          </reference>
        </references>
      </pivotArea>
    </chartFormat>
    <chartFormat chart="3" format="31">
      <pivotArea type="data" outline="0" fieldPosition="0">
        <references count="2">
          <reference field="4294967294" count="1" selected="0">
            <x v="0"/>
          </reference>
          <reference field="2" count="1" selected="0">
            <x v="8"/>
          </reference>
        </references>
      </pivotArea>
    </chartFormat>
    <chartFormat chart="3" format="32">
      <pivotArea type="data" outline="0" fieldPosition="0">
        <references count="2">
          <reference field="4294967294" count="1" selected="0">
            <x v="0"/>
          </reference>
          <reference field="2" count="1" selected="0">
            <x v="9"/>
          </reference>
        </references>
      </pivotArea>
    </chartFormat>
    <chartFormat chart="3" format="33">
      <pivotArea type="data" outline="0" fieldPosition="0">
        <references count="2">
          <reference field="4294967294" count="1" selected="0">
            <x v="0"/>
          </reference>
          <reference field="2" count="1" selected="0">
            <x v="10"/>
          </reference>
        </references>
      </pivotArea>
    </chartFormat>
    <chartFormat chart="3" format="34">
      <pivotArea type="data" outline="0" fieldPosition="0">
        <references count="2">
          <reference field="4294967294" count="1" selected="0">
            <x v="0"/>
          </reference>
          <reference field="2" count="1" selected="0">
            <x v="11"/>
          </reference>
        </references>
      </pivotArea>
    </chartFormat>
    <chartFormat chart="3" format="35">
      <pivotArea type="data" outline="0" fieldPosition="0">
        <references count="2">
          <reference field="4294967294" count="1" selected="0">
            <x v="0"/>
          </reference>
          <reference field="2" count="1" selected="0">
            <x v="12"/>
          </reference>
        </references>
      </pivotArea>
    </chartFormat>
    <chartFormat chart="3" format="36">
      <pivotArea type="data" outline="0" fieldPosition="0">
        <references count="2">
          <reference field="4294967294" count="1" selected="0">
            <x v="0"/>
          </reference>
          <reference field="2" count="1" selected="0">
            <x v="13"/>
          </reference>
        </references>
      </pivotArea>
    </chartFormat>
    <chartFormat chart="3" format="37">
      <pivotArea type="data" outline="0" fieldPosition="0">
        <references count="2">
          <reference field="4294967294" count="1" selected="0">
            <x v="0"/>
          </reference>
          <reference field="2" count="1" selected="0">
            <x v="14"/>
          </reference>
        </references>
      </pivotArea>
    </chartFormat>
    <chartFormat chart="3" format="38">
      <pivotArea type="data" outline="0" fieldPosition="0">
        <references count="2">
          <reference field="4294967294" count="1" selected="0">
            <x v="0"/>
          </reference>
          <reference field="2" count="1" selected="0">
            <x v="15"/>
          </reference>
        </references>
      </pivotArea>
    </chartFormat>
    <chartFormat chart="3" format="39">
      <pivotArea type="data" outline="0" fieldPosition="0">
        <references count="2">
          <reference field="4294967294" count="1" selected="0">
            <x v="0"/>
          </reference>
          <reference field="2" count="1" selected="0">
            <x v="16"/>
          </reference>
        </references>
      </pivotArea>
    </chartFormat>
    <chartFormat chart="3" format="40">
      <pivotArea type="data" outline="0" fieldPosition="0">
        <references count="2">
          <reference field="4294967294" count="1" selected="0">
            <x v="0"/>
          </reference>
          <reference field="2" count="1" selected="0">
            <x v="17"/>
          </reference>
        </references>
      </pivotArea>
    </chartFormat>
    <chartFormat chart="3" format="41">
      <pivotArea type="data" outline="0" fieldPosition="0">
        <references count="2">
          <reference field="4294967294" count="1" selected="0">
            <x v="0"/>
          </reference>
          <reference field="2" count="1" selected="0">
            <x v="18"/>
          </reference>
        </references>
      </pivotArea>
    </chartFormat>
    <chartFormat chart="3" format="42">
      <pivotArea type="data" outline="0" fieldPosition="0">
        <references count="2">
          <reference field="4294967294" count="1" selected="0">
            <x v="0"/>
          </reference>
          <reference field="2"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CE5FEC-F6E8-42D9-B3A8-62A2A0D64C84}" name="Category"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3:H6" firstHeaderRow="1" firstDataRow="1" firstDataCol="1"/>
  <pivotFields count="13">
    <pivotField showAll="0"/>
    <pivotField numFmtId="164" showAll="0"/>
    <pivotField showAll="0"/>
    <pivotField showAll="0">
      <items count="8">
        <item x="2"/>
        <item x="1"/>
        <item x="6"/>
        <item x="0"/>
        <item x="5"/>
        <item x="3"/>
        <item x="4"/>
        <item t="default"/>
      </items>
    </pivotField>
    <pivotField axis="axisRow" showAll="0">
      <items count="3">
        <item x="1"/>
        <item x="0"/>
        <item t="default"/>
      </items>
    </pivotField>
    <pivotField showAll="0"/>
    <pivotField dataField="1" showAll="0"/>
    <pivotField showAll="0"/>
    <pivotField showAll="0"/>
    <pivotField showAll="0">
      <items count="8">
        <item x="2"/>
        <item x="4"/>
        <item x="6"/>
        <item x="0"/>
        <item x="3"/>
        <item x="5"/>
        <item x="1"/>
        <item t="default"/>
      </items>
    </pivotField>
    <pivotField showAll="0">
      <items count="45">
        <item x="35"/>
        <item x="19"/>
        <item x="17"/>
        <item x="3"/>
        <item x="21"/>
        <item x="2"/>
        <item x="10"/>
        <item x="26"/>
        <item x="30"/>
        <item x="8"/>
        <item x="40"/>
        <item x="7"/>
        <item x="9"/>
        <item x="41"/>
        <item x="22"/>
        <item x="38"/>
        <item x="29"/>
        <item x="16"/>
        <item x="5"/>
        <item x="11"/>
        <item x="27"/>
        <item x="20"/>
        <item x="4"/>
        <item x="12"/>
        <item x="43"/>
        <item x="23"/>
        <item x="18"/>
        <item x="34"/>
        <item x="36"/>
        <item x="14"/>
        <item x="33"/>
        <item x="31"/>
        <item x="28"/>
        <item x="24"/>
        <item x="15"/>
        <item x="37"/>
        <item x="25"/>
        <item x="42"/>
        <item x="6"/>
        <item x="13"/>
        <item x="32"/>
        <item x="39"/>
        <item x="0"/>
        <item x="1"/>
        <item t="default"/>
      </items>
    </pivotField>
    <pivotField showAll="0"/>
    <pivotField showAll="0"/>
  </pivotFields>
  <rowFields count="1">
    <field x="4"/>
  </rowFields>
  <rowItems count="3">
    <i>
      <x/>
    </i>
    <i>
      <x v="1"/>
    </i>
    <i t="grand">
      <x/>
    </i>
  </rowItems>
  <colItems count="1">
    <i/>
  </colItems>
  <dataFields count="1">
    <dataField name="Sum of Price" fld="6" baseField="0"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813ED4-7208-474A-AFE3-62013A5E4D34}" name="Product"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E11" firstHeaderRow="1" firstDataRow="1" firstDataCol="1"/>
  <pivotFields count="13">
    <pivotField showAll="0"/>
    <pivotField numFmtId="164" showAll="0"/>
    <pivotField showAll="0"/>
    <pivotField axis="axisRow" showAll="0">
      <items count="8">
        <item x="2"/>
        <item x="1"/>
        <item x="6"/>
        <item x="0"/>
        <item x="5"/>
        <item x="3"/>
        <item x="4"/>
        <item t="default"/>
      </items>
    </pivotField>
    <pivotField showAll="0"/>
    <pivotField showAll="0"/>
    <pivotField dataField="1" showAll="0"/>
    <pivotField showAll="0"/>
    <pivotField showAll="0"/>
    <pivotField showAll="0">
      <items count="8">
        <item x="2"/>
        <item x="4"/>
        <item x="6"/>
        <item x="0"/>
        <item x="3"/>
        <item x="5"/>
        <item x="1"/>
        <item t="default"/>
      </items>
    </pivotField>
    <pivotField showAll="0"/>
    <pivotField showAll="0"/>
    <pivotField showAll="0"/>
  </pivotFields>
  <rowFields count="1">
    <field x="3"/>
  </rowFields>
  <rowItems count="8">
    <i>
      <x/>
    </i>
    <i>
      <x v="1"/>
    </i>
    <i>
      <x v="2"/>
    </i>
    <i>
      <x v="3"/>
    </i>
    <i>
      <x v="4"/>
    </i>
    <i>
      <x v="5"/>
    </i>
    <i>
      <x v="6"/>
    </i>
    <i t="grand">
      <x/>
    </i>
  </rowItems>
  <colItems count="1">
    <i/>
  </colItems>
  <dataFields count="1">
    <dataField name="Sum of Price" fld="6"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16A68-8E2A-4315-A4C7-9A2E46B78468}" name="city"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3">
    <pivotField showAll="0"/>
    <pivotField numFmtId="164" showAll="0"/>
    <pivotField showAll="0"/>
    <pivotField showAll="0">
      <items count="8">
        <item x="2"/>
        <item x="1"/>
        <item x="6"/>
        <item x="0"/>
        <item x="5"/>
        <item x="3"/>
        <item x="4"/>
        <item t="default"/>
      </items>
    </pivotField>
    <pivotField showAll="0">
      <items count="3">
        <item x="1"/>
        <item x="0"/>
        <item t="default"/>
      </items>
    </pivotField>
    <pivotField showAll="0"/>
    <pivotField dataField="1" showAll="0">
      <items count="12">
        <item x="3"/>
        <item x="6"/>
        <item x="7"/>
        <item x="9"/>
        <item x="5"/>
        <item x="4"/>
        <item x="10"/>
        <item x="8"/>
        <item x="0"/>
        <item x="1"/>
        <item x="2"/>
        <item t="default"/>
      </items>
    </pivotField>
    <pivotField showAll="0"/>
    <pivotField showAll="0"/>
    <pivotField axis="axisRow" showAll="0">
      <items count="8">
        <item x="2"/>
        <item x="4"/>
        <item x="6"/>
        <item x="0"/>
        <item x="3"/>
        <item x="5"/>
        <item x="1"/>
        <item t="default"/>
      </items>
    </pivotField>
    <pivotField showAll="0"/>
    <pivotField showAll="0">
      <items count="2">
        <item x="0"/>
        <item t="default"/>
      </items>
    </pivotField>
    <pivotField showAll="0"/>
  </pivotFields>
  <rowFields count="1">
    <field x="9"/>
  </rowFields>
  <rowItems count="8">
    <i>
      <x/>
    </i>
    <i>
      <x v="1"/>
    </i>
    <i>
      <x v="2"/>
    </i>
    <i>
      <x v="3"/>
    </i>
    <i>
      <x v="4"/>
    </i>
    <i>
      <x v="5"/>
    </i>
    <i>
      <x v="6"/>
    </i>
    <i t="grand">
      <x/>
    </i>
  </rowItems>
  <colItems count="1">
    <i/>
  </colItems>
  <dataFields count="1">
    <dataField name="Sum of Price" fld="6" baseField="0" baseItem="0" numFmtId="165"/>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3FDF65-25EC-4259-814D-C4747487755E}" sourceName="Product">
  <pivotTables>
    <pivotTable tabId="6" name="city"/>
    <pivotTable tabId="6" name="Category"/>
    <pivotTable tabId="6" name="months"/>
    <pivotTable tabId="6" name="People"/>
    <pivotTable tabId="6" name="Product"/>
  </pivotTables>
  <data>
    <tabular pivotCacheId="176038614">
      <items count="7">
        <i x="2" s="1"/>
        <i x="1" s="1"/>
        <i x="6"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670648D-AFF3-4418-B107-BB34199256BC}"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FE31F2-7850-462F-951C-6E2146EFEDD7}" name="Table2" displayName="Table2" ref="A1:M500" totalsRowShown="0" headerRowDxfId="5" headerRowBorderDxfId="4" tableBorderDxfId="3">
  <autoFilter ref="A1:M500" xr:uid="{6A33BB38-9643-4CB3-98B8-8F0099CCE68A}">
    <filterColumn colId="7">
      <filters>
        <filter val="Yes"/>
      </filters>
    </filterColumn>
  </autoFilter>
  <tableColumns count="13">
    <tableColumn id="1" xr3:uid="{FE0547F0-6D72-4283-B6BC-7BE5E045AF83}" name="Order_ID"/>
    <tableColumn id="2" xr3:uid="{5771E852-D1CF-46B2-B6C8-65E6CFFD3830}" name="Order_Date" dataDxfId="2"/>
    <tableColumn id="3" xr3:uid="{F5B311CE-ED86-43FF-A31D-A6E74E667E3F}" name="Customer_Name"/>
    <tableColumn id="4" xr3:uid="{D6A92227-AEFE-4B86-AA9A-6D1F852B7351}" name="Product"/>
    <tableColumn id="5" xr3:uid="{896C4EC5-9363-4BCD-A697-A76688037EC9}" name="Category"/>
    <tableColumn id="6" xr3:uid="{4BAB8923-6755-4A62-99E5-A96E2C9F389B}" name="Quantity"/>
    <tableColumn id="7" xr3:uid="{DED21459-022F-4A3D-B092-C5058EDA2BBB}" name="Price" dataDxfId="1"/>
    <tableColumn id="15" xr3:uid="{D5749D1F-1829-4A2C-B526-D32998790C06}" name="Status" dataDxfId="0">
      <calculatedColumnFormula>IF(Table2[[#This Row],[Price]]=0,"No","Yes")</calculatedColumnFormula>
    </tableColumn>
    <tableColumn id="8" xr3:uid="{9994DD99-7DFC-41B6-836A-0A04B5A52979}" name="Payment_Mode"/>
    <tableColumn id="9" xr3:uid="{EFA7702E-0A00-4585-AF61-2F332E37CAA5}" name="City"/>
    <tableColumn id="10" xr3:uid="{3C4A879D-4008-4DCE-A1D3-2E3E65B432E5}" name="Total_Sales"/>
    <tableColumn id="11" xr3:uid="{6B69891D-21AB-424C-B92B-C6FABCB974A6}" name="Month"/>
    <tableColumn id="12" xr3:uid="{79392BCC-40F4-4270-B256-127B9320F61D}" name="Year"/>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5906-BF8B-438E-BDE3-5E07BB82A507}">
  <dimension ref="A1:M500"/>
  <sheetViews>
    <sheetView workbookViewId="0">
      <selection sqref="A1:XFD20"/>
    </sheetView>
  </sheetViews>
  <sheetFormatPr defaultRowHeight="14.5" x14ac:dyDescent="0.35"/>
  <cols>
    <col min="1" max="1" width="13.08984375" bestFit="1" customWidth="1"/>
    <col min="2" max="2" width="17.81640625" bestFit="1" customWidth="1"/>
    <col min="3" max="3" width="19.54296875" bestFit="1" customWidth="1"/>
    <col min="4" max="4" width="12" bestFit="1" customWidth="1"/>
    <col min="5" max="5" width="19.54296875" bestFit="1" customWidth="1"/>
    <col min="6" max="6" width="12.7265625" bestFit="1" customWidth="1"/>
    <col min="7" max="7" width="10.26953125" style="4" bestFit="1" customWidth="1"/>
    <col min="8" max="9" width="10.26953125" style="4" customWidth="1"/>
    <col min="10" max="10" width="18.81640625" bestFit="1" customWidth="1"/>
    <col min="11" max="11" width="10" bestFit="1" customWidth="1"/>
    <col min="12" max="12" width="14.81640625" bestFit="1" customWidth="1"/>
    <col min="13" max="13" width="11.08984375" bestFit="1" customWidth="1"/>
    <col min="14" max="14" width="9.08984375" bestFit="1" customWidth="1"/>
  </cols>
  <sheetData>
    <row r="1" spans="1:13" x14ac:dyDescent="0.35">
      <c r="A1" s="2" t="s">
        <v>0</v>
      </c>
      <c r="B1" s="2" t="s">
        <v>1</v>
      </c>
      <c r="C1" s="2" t="s">
        <v>2</v>
      </c>
      <c r="D1" s="2" t="s">
        <v>3</v>
      </c>
      <c r="E1" s="2" t="s">
        <v>4</v>
      </c>
      <c r="F1" s="2" t="s">
        <v>5</v>
      </c>
      <c r="G1" s="3" t="s">
        <v>6</v>
      </c>
      <c r="H1" s="3" t="s">
        <v>52</v>
      </c>
      <c r="I1" s="2" t="s">
        <v>7</v>
      </c>
      <c r="J1" s="2" t="s">
        <v>8</v>
      </c>
      <c r="K1" s="2" t="s">
        <v>9</v>
      </c>
      <c r="L1" s="2" t="s">
        <v>10</v>
      </c>
      <c r="M1" s="2" t="s">
        <v>11</v>
      </c>
    </row>
    <row r="2" spans="1:13" x14ac:dyDescent="0.35">
      <c r="A2">
        <v>100001</v>
      </c>
      <c r="B2" s="1">
        <v>44927</v>
      </c>
      <c r="C2" t="s">
        <v>12</v>
      </c>
      <c r="D2" t="s">
        <v>32</v>
      </c>
      <c r="E2" t="s">
        <v>39</v>
      </c>
      <c r="F2">
        <v>5</v>
      </c>
      <c r="G2" s="4">
        <v>55000</v>
      </c>
      <c r="H2" s="4" t="str">
        <f>IF(Table2[[#This Row],[Price]]=0,"No","Yes")</f>
        <v>Yes</v>
      </c>
      <c r="I2" t="s">
        <v>41</v>
      </c>
      <c r="J2" t="s">
        <v>45</v>
      </c>
      <c r="K2">
        <v>275000</v>
      </c>
      <c r="L2">
        <v>1</v>
      </c>
      <c r="M2">
        <v>2023</v>
      </c>
    </row>
    <row r="3" spans="1:13" x14ac:dyDescent="0.35">
      <c r="A3">
        <v>100002</v>
      </c>
      <c r="B3" s="1">
        <v>44927.041666666657</v>
      </c>
      <c r="C3" t="s">
        <v>13</v>
      </c>
      <c r="D3" t="s">
        <v>33</v>
      </c>
      <c r="E3" t="s">
        <v>40</v>
      </c>
      <c r="F3">
        <v>5</v>
      </c>
      <c r="G3" s="4">
        <v>65000</v>
      </c>
      <c r="H3" s="4" t="str">
        <f>IF(Table2[[#This Row],[Price]]=0,"No","Yes")</f>
        <v>Yes</v>
      </c>
      <c r="I3" t="s">
        <v>42</v>
      </c>
      <c r="J3" t="s">
        <v>46</v>
      </c>
      <c r="K3">
        <v>325000</v>
      </c>
      <c r="L3">
        <v>1</v>
      </c>
      <c r="M3">
        <v>2023</v>
      </c>
    </row>
    <row r="4" spans="1:13" hidden="1" x14ac:dyDescent="0.35">
      <c r="A4">
        <v>100003</v>
      </c>
      <c r="B4" s="1">
        <v>44927.083333333343</v>
      </c>
      <c r="C4" t="s">
        <v>14</v>
      </c>
      <c r="D4" t="s">
        <v>34</v>
      </c>
      <c r="E4" t="s">
        <v>39</v>
      </c>
      <c r="F4">
        <v>4</v>
      </c>
      <c r="H4" s="4" t="str">
        <f>IF(Table2[[#This Row],[Price]]=0,"No","Yes")</f>
        <v>No</v>
      </c>
      <c r="I4" t="s">
        <v>42</v>
      </c>
      <c r="J4" t="s">
        <v>47</v>
      </c>
      <c r="K4">
        <v>6000</v>
      </c>
      <c r="L4">
        <v>1</v>
      </c>
      <c r="M4">
        <v>2023</v>
      </c>
    </row>
    <row r="5" spans="1:13" x14ac:dyDescent="0.35">
      <c r="A5">
        <v>100004</v>
      </c>
      <c r="B5" s="1">
        <v>44927.125</v>
      </c>
      <c r="C5" t="s">
        <v>15</v>
      </c>
      <c r="D5" t="s">
        <v>32</v>
      </c>
      <c r="E5" t="s">
        <v>39</v>
      </c>
      <c r="F5">
        <v>3</v>
      </c>
      <c r="G5" s="4">
        <v>1500</v>
      </c>
      <c r="H5" s="4" t="str">
        <f>IF(Table2[[#This Row],[Price]]=0,"No","Yes")</f>
        <v>Yes</v>
      </c>
      <c r="I5" t="s">
        <v>42</v>
      </c>
      <c r="J5" t="s">
        <v>45</v>
      </c>
      <c r="K5">
        <v>4500</v>
      </c>
      <c r="L5">
        <v>1</v>
      </c>
      <c r="M5">
        <v>2023</v>
      </c>
    </row>
    <row r="6" spans="1:13" x14ac:dyDescent="0.35">
      <c r="A6">
        <v>100005</v>
      </c>
      <c r="B6" s="1">
        <v>44927.166666666657</v>
      </c>
      <c r="C6" t="s">
        <v>16</v>
      </c>
      <c r="D6" t="s">
        <v>35</v>
      </c>
      <c r="E6" t="s">
        <v>39</v>
      </c>
      <c r="F6">
        <v>1</v>
      </c>
      <c r="G6" s="4">
        <v>55000</v>
      </c>
      <c r="H6" s="4" t="str">
        <f>IF(Table2[[#This Row],[Price]]=0,"No","Yes")</f>
        <v>Yes</v>
      </c>
      <c r="I6" t="s">
        <v>41</v>
      </c>
      <c r="J6" t="s">
        <v>48</v>
      </c>
      <c r="K6">
        <v>55000</v>
      </c>
      <c r="L6">
        <v>1</v>
      </c>
      <c r="M6">
        <v>2023</v>
      </c>
    </row>
    <row r="7" spans="1:13" x14ac:dyDescent="0.35">
      <c r="A7">
        <v>100006</v>
      </c>
      <c r="B7" s="1">
        <v>44927.208333333343</v>
      </c>
      <c r="C7" t="s">
        <v>12</v>
      </c>
      <c r="D7" t="s">
        <v>36</v>
      </c>
      <c r="E7" t="s">
        <v>40</v>
      </c>
      <c r="F7">
        <v>2</v>
      </c>
      <c r="G7" s="4">
        <v>22000</v>
      </c>
      <c r="H7" s="4" t="str">
        <f>IF(Table2[[#This Row],[Price]]=0,"No","Yes")</f>
        <v>Yes</v>
      </c>
      <c r="I7" t="s">
        <v>43</v>
      </c>
      <c r="J7" t="s">
        <v>48</v>
      </c>
      <c r="K7">
        <v>44000</v>
      </c>
      <c r="L7">
        <v>1</v>
      </c>
      <c r="M7">
        <v>2023</v>
      </c>
    </row>
    <row r="8" spans="1:13" x14ac:dyDescent="0.35">
      <c r="A8">
        <v>100007</v>
      </c>
      <c r="B8" s="1">
        <v>44927.25</v>
      </c>
      <c r="C8" t="s">
        <v>17</v>
      </c>
      <c r="D8" t="s">
        <v>32</v>
      </c>
      <c r="E8" t="s">
        <v>40</v>
      </c>
      <c r="F8">
        <v>1</v>
      </c>
      <c r="G8" s="4">
        <v>55000</v>
      </c>
      <c r="H8" s="4" t="str">
        <f>IF(Table2[[#This Row],[Price]]=0,"No","Yes")</f>
        <v>Yes</v>
      </c>
      <c r="I8" t="s">
        <v>43</v>
      </c>
      <c r="J8" t="s">
        <v>46</v>
      </c>
      <c r="K8">
        <v>55000</v>
      </c>
      <c r="L8">
        <v>1</v>
      </c>
      <c r="M8">
        <v>2023</v>
      </c>
    </row>
    <row r="9" spans="1:13" x14ac:dyDescent="0.35">
      <c r="A9">
        <v>100008</v>
      </c>
      <c r="B9" s="1">
        <v>44927.291666666657</v>
      </c>
      <c r="C9" t="s">
        <v>15</v>
      </c>
      <c r="D9" t="s">
        <v>36</v>
      </c>
      <c r="E9" t="s">
        <v>39</v>
      </c>
      <c r="F9">
        <v>3</v>
      </c>
      <c r="G9" s="4">
        <v>65000</v>
      </c>
      <c r="H9" s="4" t="str">
        <f>IF(Table2[[#This Row],[Price]]=0,"No","Yes")</f>
        <v>Yes</v>
      </c>
      <c r="I9" t="s">
        <v>41</v>
      </c>
      <c r="J9" t="s">
        <v>45</v>
      </c>
      <c r="K9">
        <v>195000</v>
      </c>
      <c r="L9">
        <v>1</v>
      </c>
      <c r="M9">
        <v>2023</v>
      </c>
    </row>
    <row r="10" spans="1:13" x14ac:dyDescent="0.35">
      <c r="A10">
        <v>100009</v>
      </c>
      <c r="B10" s="1">
        <v>44927.333333333343</v>
      </c>
      <c r="C10" t="s">
        <v>15</v>
      </c>
      <c r="D10" t="s">
        <v>35</v>
      </c>
      <c r="E10" t="s">
        <v>39</v>
      </c>
      <c r="F10">
        <v>1</v>
      </c>
      <c r="G10" s="4">
        <v>18000</v>
      </c>
      <c r="H10" s="4" t="str">
        <f>IF(Table2[[#This Row],[Price]]=0,"No","Yes")</f>
        <v>Yes</v>
      </c>
      <c r="I10" t="s">
        <v>42</v>
      </c>
      <c r="J10" t="s">
        <v>45</v>
      </c>
      <c r="K10">
        <v>18000</v>
      </c>
      <c r="L10">
        <v>1</v>
      </c>
      <c r="M10">
        <v>2023</v>
      </c>
    </row>
    <row r="11" spans="1:13" x14ac:dyDescent="0.35">
      <c r="A11">
        <v>100010</v>
      </c>
      <c r="B11" s="1">
        <v>44927.375</v>
      </c>
      <c r="C11" t="s">
        <v>18</v>
      </c>
      <c r="D11" t="s">
        <v>35</v>
      </c>
      <c r="E11" t="s">
        <v>39</v>
      </c>
      <c r="F11">
        <v>5</v>
      </c>
      <c r="G11" s="4">
        <v>2500</v>
      </c>
      <c r="H11" s="4" t="str">
        <f>IF(Table2[[#This Row],[Price]]=0,"No","Yes")</f>
        <v>Yes</v>
      </c>
      <c r="I11" t="s">
        <v>43</v>
      </c>
      <c r="J11" t="s">
        <v>45</v>
      </c>
      <c r="K11">
        <v>12500</v>
      </c>
      <c r="L11">
        <v>1</v>
      </c>
      <c r="M11">
        <v>2023</v>
      </c>
    </row>
    <row r="12" spans="1:13" x14ac:dyDescent="0.35">
      <c r="A12">
        <v>100011</v>
      </c>
      <c r="B12" s="1">
        <v>44927.416666666657</v>
      </c>
      <c r="C12" t="s">
        <v>16</v>
      </c>
      <c r="D12" t="s">
        <v>32</v>
      </c>
      <c r="E12" t="s">
        <v>40</v>
      </c>
      <c r="F12">
        <v>1</v>
      </c>
      <c r="G12" s="4">
        <v>18000</v>
      </c>
      <c r="H12" s="4" t="str">
        <f>IF(Table2[[#This Row],[Price]]=0,"No","Yes")</f>
        <v>Yes</v>
      </c>
      <c r="I12" t="s">
        <v>43</v>
      </c>
      <c r="J12" t="s">
        <v>45</v>
      </c>
      <c r="K12">
        <v>18000</v>
      </c>
      <c r="L12">
        <v>1</v>
      </c>
      <c r="M12">
        <v>2023</v>
      </c>
    </row>
    <row r="13" spans="1:13" x14ac:dyDescent="0.35">
      <c r="A13">
        <v>100012</v>
      </c>
      <c r="B13" s="1">
        <v>44927.458333333343</v>
      </c>
      <c r="C13" t="s">
        <v>19</v>
      </c>
      <c r="D13" t="s">
        <v>33</v>
      </c>
      <c r="E13" t="s">
        <v>40</v>
      </c>
      <c r="F13">
        <v>4</v>
      </c>
      <c r="G13" s="4">
        <v>5000</v>
      </c>
      <c r="H13" s="4" t="str">
        <f>IF(Table2[[#This Row],[Price]]=0,"No","Yes")</f>
        <v>Yes</v>
      </c>
      <c r="I13" t="s">
        <v>42</v>
      </c>
      <c r="J13" t="s">
        <v>49</v>
      </c>
      <c r="K13">
        <v>20000</v>
      </c>
      <c r="L13">
        <v>1</v>
      </c>
      <c r="M13">
        <v>2023</v>
      </c>
    </row>
    <row r="14" spans="1:13" x14ac:dyDescent="0.35">
      <c r="A14">
        <v>100013</v>
      </c>
      <c r="B14" s="1">
        <v>44927.5</v>
      </c>
      <c r="C14" t="s">
        <v>20</v>
      </c>
      <c r="D14" t="s">
        <v>34</v>
      </c>
      <c r="E14" t="s">
        <v>39</v>
      </c>
      <c r="F14">
        <v>3</v>
      </c>
      <c r="G14" s="4">
        <v>2500</v>
      </c>
      <c r="H14" s="4" t="str">
        <f>IF(Table2[[#This Row],[Price]]=0,"No","Yes")</f>
        <v>Yes</v>
      </c>
      <c r="I14" t="s">
        <v>44</v>
      </c>
      <c r="J14" t="s">
        <v>46</v>
      </c>
      <c r="K14">
        <v>7500</v>
      </c>
      <c r="L14">
        <v>1</v>
      </c>
      <c r="M14">
        <v>2023</v>
      </c>
    </row>
    <row r="15" spans="1:13" x14ac:dyDescent="0.35">
      <c r="A15">
        <v>100014</v>
      </c>
      <c r="B15" s="1">
        <v>44927.541666666657</v>
      </c>
      <c r="C15" t="s">
        <v>21</v>
      </c>
      <c r="D15" t="s">
        <v>33</v>
      </c>
      <c r="E15" t="s">
        <v>40</v>
      </c>
      <c r="F15">
        <v>5</v>
      </c>
      <c r="G15" s="4">
        <v>55000</v>
      </c>
      <c r="H15" s="4" t="str">
        <f>IF(Table2[[#This Row],[Price]]=0,"No","Yes")</f>
        <v>Yes</v>
      </c>
      <c r="I15" t="s">
        <v>41</v>
      </c>
      <c r="J15" t="s">
        <v>50</v>
      </c>
      <c r="K15">
        <v>275000</v>
      </c>
      <c r="L15">
        <v>1</v>
      </c>
      <c r="M15">
        <v>2023</v>
      </c>
    </row>
    <row r="16" spans="1:13" x14ac:dyDescent="0.35">
      <c r="A16">
        <v>100015</v>
      </c>
      <c r="B16" s="1">
        <v>44927.583333333343</v>
      </c>
      <c r="C16" t="s">
        <v>22</v>
      </c>
      <c r="D16" t="s">
        <v>37</v>
      </c>
      <c r="E16" t="s">
        <v>39</v>
      </c>
      <c r="F16">
        <v>1</v>
      </c>
      <c r="G16" s="4">
        <v>45000</v>
      </c>
      <c r="H16" s="4" t="str">
        <f>IF(Table2[[#This Row],[Price]]=0,"No","Yes")</f>
        <v>Yes</v>
      </c>
      <c r="I16" t="s">
        <v>43</v>
      </c>
      <c r="J16" t="s">
        <v>46</v>
      </c>
      <c r="K16">
        <v>45000</v>
      </c>
      <c r="L16">
        <v>1</v>
      </c>
      <c r="M16">
        <v>2023</v>
      </c>
    </row>
    <row r="17" spans="1:13" x14ac:dyDescent="0.35">
      <c r="A17">
        <v>100016</v>
      </c>
      <c r="B17" s="1">
        <v>44927.625</v>
      </c>
      <c r="C17" t="s">
        <v>20</v>
      </c>
      <c r="D17" t="s">
        <v>34</v>
      </c>
      <c r="E17" t="s">
        <v>39</v>
      </c>
      <c r="F17">
        <v>5</v>
      </c>
      <c r="G17" s="4">
        <v>12000</v>
      </c>
      <c r="H17" s="4" t="str">
        <f>IF(Table2[[#This Row],[Price]]=0,"No","Yes")</f>
        <v>Yes</v>
      </c>
      <c r="I17" t="s">
        <v>44</v>
      </c>
      <c r="J17" t="s">
        <v>45</v>
      </c>
      <c r="K17">
        <v>60000</v>
      </c>
      <c r="L17">
        <v>1</v>
      </c>
      <c r="M17">
        <v>2023</v>
      </c>
    </row>
    <row r="18" spans="1:13" x14ac:dyDescent="0.35">
      <c r="A18">
        <v>100017</v>
      </c>
      <c r="B18" s="1">
        <v>44927.666666666657</v>
      </c>
      <c r="C18" t="s">
        <v>23</v>
      </c>
      <c r="D18" t="s">
        <v>36</v>
      </c>
      <c r="E18" t="s">
        <v>40</v>
      </c>
      <c r="F18">
        <v>4</v>
      </c>
      <c r="G18" s="4">
        <v>55000</v>
      </c>
      <c r="H18" s="4" t="str">
        <f>IF(Table2[[#This Row],[Price]]=0,"No","Yes")</f>
        <v>Yes</v>
      </c>
      <c r="I18" t="s">
        <v>44</v>
      </c>
      <c r="J18" t="s">
        <v>46</v>
      </c>
      <c r="K18">
        <v>220000</v>
      </c>
      <c r="L18">
        <v>1</v>
      </c>
      <c r="M18">
        <v>2023</v>
      </c>
    </row>
    <row r="19" spans="1:13" x14ac:dyDescent="0.35">
      <c r="A19">
        <v>100018</v>
      </c>
      <c r="B19" s="1">
        <v>44927.708333333343</v>
      </c>
      <c r="C19" t="s">
        <v>21</v>
      </c>
      <c r="D19" t="s">
        <v>32</v>
      </c>
      <c r="E19" t="s">
        <v>39</v>
      </c>
      <c r="F19">
        <v>5</v>
      </c>
      <c r="G19" s="4">
        <v>12000</v>
      </c>
      <c r="H19" s="4" t="str">
        <f>IF(Table2[[#This Row],[Price]]=0,"No","Yes")</f>
        <v>Yes</v>
      </c>
      <c r="I19" t="s">
        <v>42</v>
      </c>
      <c r="J19" t="s">
        <v>46</v>
      </c>
      <c r="K19">
        <v>60000</v>
      </c>
      <c r="L19">
        <v>1</v>
      </c>
      <c r="M19">
        <v>2023</v>
      </c>
    </row>
    <row r="20" spans="1:13" x14ac:dyDescent="0.35">
      <c r="A20">
        <v>100019</v>
      </c>
      <c r="B20" s="1">
        <v>44927.75</v>
      </c>
      <c r="C20" t="s">
        <v>21</v>
      </c>
      <c r="D20" t="s">
        <v>38</v>
      </c>
      <c r="E20" t="s">
        <v>40</v>
      </c>
      <c r="F20">
        <v>2</v>
      </c>
      <c r="G20" s="4">
        <v>45000</v>
      </c>
      <c r="H20" s="4" t="str">
        <f>IF(Table2[[#This Row],[Price]]=0,"No","Yes")</f>
        <v>Yes</v>
      </c>
      <c r="I20" t="s">
        <v>42</v>
      </c>
      <c r="J20" t="s">
        <v>50</v>
      </c>
      <c r="K20">
        <v>90000</v>
      </c>
      <c r="L20">
        <v>1</v>
      </c>
      <c r="M20">
        <v>2023</v>
      </c>
    </row>
    <row r="21" spans="1:13" x14ac:dyDescent="0.35">
      <c r="A21">
        <v>100020</v>
      </c>
      <c r="B21" s="1">
        <v>44927.791666666657</v>
      </c>
      <c r="C21" t="s">
        <v>24</v>
      </c>
      <c r="D21" t="s">
        <v>35</v>
      </c>
      <c r="E21" t="s">
        <v>39</v>
      </c>
      <c r="F21">
        <v>4</v>
      </c>
      <c r="G21" s="4">
        <v>35000</v>
      </c>
      <c r="H21" s="4" t="str">
        <f>IF(Table2[[#This Row],[Price]]=0,"No","Yes")</f>
        <v>Yes</v>
      </c>
      <c r="I21" t="s">
        <v>42</v>
      </c>
      <c r="J21" t="s">
        <v>49</v>
      </c>
      <c r="K21">
        <v>140000</v>
      </c>
      <c r="L21">
        <v>1</v>
      </c>
      <c r="M21">
        <v>2023</v>
      </c>
    </row>
    <row r="22" spans="1:13" x14ac:dyDescent="0.35">
      <c r="A22">
        <v>100021</v>
      </c>
      <c r="B22" s="1">
        <v>44927.833333333343</v>
      </c>
      <c r="C22" t="s">
        <v>25</v>
      </c>
      <c r="D22" t="s">
        <v>33</v>
      </c>
      <c r="E22" t="s">
        <v>39</v>
      </c>
      <c r="F22">
        <v>4</v>
      </c>
      <c r="G22" s="4">
        <v>55000</v>
      </c>
      <c r="H22" s="4" t="str">
        <f>IF(Table2[[#This Row],[Price]]=0,"No","Yes")</f>
        <v>Yes</v>
      </c>
      <c r="I22" t="s">
        <v>43</v>
      </c>
      <c r="J22" t="s">
        <v>46</v>
      </c>
      <c r="K22">
        <v>220000</v>
      </c>
      <c r="L22">
        <v>1</v>
      </c>
      <c r="M22">
        <v>2023</v>
      </c>
    </row>
    <row r="23" spans="1:13" x14ac:dyDescent="0.35">
      <c r="A23">
        <v>100022</v>
      </c>
      <c r="B23" s="1">
        <v>44927.875</v>
      </c>
      <c r="C23" t="s">
        <v>26</v>
      </c>
      <c r="D23" t="s">
        <v>36</v>
      </c>
      <c r="E23" t="s">
        <v>39</v>
      </c>
      <c r="F23">
        <v>3</v>
      </c>
      <c r="G23" s="4">
        <v>12000</v>
      </c>
      <c r="H23" s="4" t="str">
        <f>IF(Table2[[#This Row],[Price]]=0,"No","Yes")</f>
        <v>Yes</v>
      </c>
      <c r="I23" t="s">
        <v>44</v>
      </c>
      <c r="J23" t="s">
        <v>47</v>
      </c>
      <c r="K23">
        <v>36000</v>
      </c>
      <c r="L23">
        <v>1</v>
      </c>
      <c r="M23">
        <v>2023</v>
      </c>
    </row>
    <row r="24" spans="1:13" hidden="1" x14ac:dyDescent="0.35">
      <c r="A24">
        <v>100023</v>
      </c>
      <c r="B24" s="1">
        <v>44927.916666666657</v>
      </c>
      <c r="C24" t="s">
        <v>14</v>
      </c>
      <c r="D24" t="s">
        <v>35</v>
      </c>
      <c r="E24" t="s">
        <v>40</v>
      </c>
      <c r="F24">
        <v>3</v>
      </c>
      <c r="H24" s="4" t="str">
        <f>IF(Table2[[#This Row],[Price]]=0,"No","Yes")</f>
        <v>No</v>
      </c>
      <c r="I24" t="s">
        <v>43</v>
      </c>
      <c r="J24" t="s">
        <v>47</v>
      </c>
      <c r="K24">
        <v>7500</v>
      </c>
      <c r="L24">
        <v>1</v>
      </c>
      <c r="M24">
        <v>2023</v>
      </c>
    </row>
    <row r="25" spans="1:13" x14ac:dyDescent="0.35">
      <c r="A25">
        <v>100024</v>
      </c>
      <c r="B25" s="1">
        <v>44927.958333333343</v>
      </c>
      <c r="C25" t="s">
        <v>14</v>
      </c>
      <c r="D25" t="s">
        <v>36</v>
      </c>
      <c r="E25" t="s">
        <v>39</v>
      </c>
      <c r="F25">
        <v>3</v>
      </c>
      <c r="G25" s="4">
        <v>1500</v>
      </c>
      <c r="H25" s="4" t="str">
        <f>IF(Table2[[#This Row],[Price]]=0,"No","Yes")</f>
        <v>Yes</v>
      </c>
      <c r="I25" t="s">
        <v>43</v>
      </c>
      <c r="J25" t="s">
        <v>45</v>
      </c>
      <c r="K25">
        <v>4500</v>
      </c>
      <c r="L25">
        <v>1</v>
      </c>
      <c r="M25">
        <v>2023</v>
      </c>
    </row>
    <row r="26" spans="1:13" x14ac:dyDescent="0.35">
      <c r="A26">
        <v>100025</v>
      </c>
      <c r="B26" s="1">
        <v>44928</v>
      </c>
      <c r="C26" t="s">
        <v>17</v>
      </c>
      <c r="D26" t="s">
        <v>32</v>
      </c>
      <c r="E26" t="s">
        <v>39</v>
      </c>
      <c r="F26">
        <v>2</v>
      </c>
      <c r="G26" s="4">
        <v>1500</v>
      </c>
      <c r="H26" s="4" t="str">
        <f>IF(Table2[[#This Row],[Price]]=0,"No","Yes")</f>
        <v>Yes</v>
      </c>
      <c r="I26" t="s">
        <v>42</v>
      </c>
      <c r="J26" t="s">
        <v>48</v>
      </c>
      <c r="K26">
        <v>3000</v>
      </c>
      <c r="L26">
        <v>1</v>
      </c>
      <c r="M26">
        <v>2023</v>
      </c>
    </row>
    <row r="27" spans="1:13" x14ac:dyDescent="0.35">
      <c r="A27">
        <v>100026</v>
      </c>
      <c r="B27" s="1">
        <v>44928.041666666657</v>
      </c>
      <c r="C27" t="s">
        <v>21</v>
      </c>
      <c r="D27" t="s">
        <v>36</v>
      </c>
      <c r="E27" t="s">
        <v>39</v>
      </c>
      <c r="F27">
        <v>5</v>
      </c>
      <c r="G27" s="4">
        <v>65000</v>
      </c>
      <c r="H27" s="4" t="str">
        <f>IF(Table2[[#This Row],[Price]]=0,"No","Yes")</f>
        <v>Yes</v>
      </c>
      <c r="I27" t="s">
        <v>43</v>
      </c>
      <c r="J27" t="s">
        <v>47</v>
      </c>
      <c r="K27">
        <v>325000</v>
      </c>
      <c r="L27">
        <v>1</v>
      </c>
      <c r="M27">
        <v>2023</v>
      </c>
    </row>
    <row r="28" spans="1:13" x14ac:dyDescent="0.35">
      <c r="A28">
        <v>100027</v>
      </c>
      <c r="B28" s="1">
        <v>44928.083333333343</v>
      </c>
      <c r="C28" t="s">
        <v>13</v>
      </c>
      <c r="D28" t="s">
        <v>36</v>
      </c>
      <c r="E28" t="s">
        <v>39</v>
      </c>
      <c r="F28">
        <v>2</v>
      </c>
      <c r="G28" s="4">
        <v>35000</v>
      </c>
      <c r="H28" s="4" t="str">
        <f>IF(Table2[[#This Row],[Price]]=0,"No","Yes")</f>
        <v>Yes</v>
      </c>
      <c r="I28" t="s">
        <v>41</v>
      </c>
      <c r="J28" t="s">
        <v>50</v>
      </c>
      <c r="K28">
        <v>70000</v>
      </c>
      <c r="L28">
        <v>1</v>
      </c>
      <c r="M28">
        <v>2023</v>
      </c>
    </row>
    <row r="29" spans="1:13" x14ac:dyDescent="0.35">
      <c r="A29">
        <v>100028</v>
      </c>
      <c r="B29" s="1">
        <v>44928.125</v>
      </c>
      <c r="C29" t="s">
        <v>19</v>
      </c>
      <c r="D29" t="s">
        <v>37</v>
      </c>
      <c r="E29" t="s">
        <v>39</v>
      </c>
      <c r="F29">
        <v>1</v>
      </c>
      <c r="G29" s="4">
        <v>2500</v>
      </c>
      <c r="H29" s="4" t="str">
        <f>IF(Table2[[#This Row],[Price]]=0,"No","Yes")</f>
        <v>Yes</v>
      </c>
      <c r="I29" t="s">
        <v>42</v>
      </c>
      <c r="J29" t="s">
        <v>46</v>
      </c>
      <c r="K29">
        <v>2500</v>
      </c>
      <c r="L29">
        <v>1</v>
      </c>
      <c r="M29">
        <v>2023</v>
      </c>
    </row>
    <row r="30" spans="1:13" x14ac:dyDescent="0.35">
      <c r="A30">
        <v>100029</v>
      </c>
      <c r="B30" s="1">
        <v>44928.166666666657</v>
      </c>
      <c r="C30" t="s">
        <v>27</v>
      </c>
      <c r="D30" t="s">
        <v>38</v>
      </c>
      <c r="E30" t="s">
        <v>39</v>
      </c>
      <c r="F30">
        <v>1</v>
      </c>
      <c r="G30" s="4">
        <v>45000</v>
      </c>
      <c r="H30" s="4" t="str">
        <f>IF(Table2[[#This Row],[Price]]=0,"No","Yes")</f>
        <v>Yes</v>
      </c>
      <c r="I30" t="s">
        <v>42</v>
      </c>
      <c r="J30" t="s">
        <v>50</v>
      </c>
      <c r="K30">
        <v>45000</v>
      </c>
      <c r="L30">
        <v>1</v>
      </c>
      <c r="M30">
        <v>2023</v>
      </c>
    </row>
    <row r="31" spans="1:13" x14ac:dyDescent="0.35">
      <c r="A31">
        <v>100030</v>
      </c>
      <c r="B31" s="1">
        <v>44928.208333333343</v>
      </c>
      <c r="C31" t="s">
        <v>17</v>
      </c>
      <c r="D31" t="s">
        <v>36</v>
      </c>
      <c r="E31" t="s">
        <v>39</v>
      </c>
      <c r="F31">
        <v>3</v>
      </c>
      <c r="G31" s="4">
        <v>18000</v>
      </c>
      <c r="H31" s="4" t="str">
        <f>IF(Table2[[#This Row],[Price]]=0,"No","Yes")</f>
        <v>Yes</v>
      </c>
      <c r="I31" t="s">
        <v>42</v>
      </c>
      <c r="J31" t="s">
        <v>50</v>
      </c>
      <c r="K31">
        <v>54000</v>
      </c>
      <c r="L31">
        <v>1</v>
      </c>
      <c r="M31">
        <v>2023</v>
      </c>
    </row>
    <row r="32" spans="1:13" x14ac:dyDescent="0.35">
      <c r="A32">
        <v>100031</v>
      </c>
      <c r="B32" s="1">
        <v>44928.25</v>
      </c>
      <c r="C32" t="s">
        <v>12</v>
      </c>
      <c r="D32" t="s">
        <v>34</v>
      </c>
      <c r="E32" t="s">
        <v>39</v>
      </c>
      <c r="F32">
        <v>2</v>
      </c>
      <c r="G32" s="4">
        <v>2500</v>
      </c>
      <c r="H32" s="4" t="str">
        <f>IF(Table2[[#This Row],[Price]]=0,"No","Yes")</f>
        <v>Yes</v>
      </c>
      <c r="I32" t="s">
        <v>42</v>
      </c>
      <c r="J32" t="s">
        <v>49</v>
      </c>
      <c r="K32">
        <v>5000</v>
      </c>
      <c r="L32">
        <v>1</v>
      </c>
      <c r="M32">
        <v>2023</v>
      </c>
    </row>
    <row r="33" spans="1:13" hidden="1" x14ac:dyDescent="0.35">
      <c r="A33">
        <v>100032</v>
      </c>
      <c r="B33" s="1">
        <v>44928.291666666657</v>
      </c>
      <c r="C33" t="s">
        <v>28</v>
      </c>
      <c r="D33" t="s">
        <v>36</v>
      </c>
      <c r="E33" t="s">
        <v>39</v>
      </c>
      <c r="F33">
        <v>2</v>
      </c>
      <c r="H33" s="4" t="str">
        <f>IF(Table2[[#This Row],[Price]]=0,"No","Yes")</f>
        <v>No</v>
      </c>
      <c r="I33" t="s">
        <v>42</v>
      </c>
      <c r="J33" t="s">
        <v>49</v>
      </c>
      <c r="K33">
        <v>24000</v>
      </c>
      <c r="L33">
        <v>1</v>
      </c>
      <c r="M33">
        <v>2023</v>
      </c>
    </row>
    <row r="34" spans="1:13" x14ac:dyDescent="0.35">
      <c r="A34">
        <v>100033</v>
      </c>
      <c r="B34" s="1">
        <v>44928.333333333343</v>
      </c>
      <c r="C34" t="s">
        <v>12</v>
      </c>
      <c r="D34" t="s">
        <v>36</v>
      </c>
      <c r="E34" t="s">
        <v>39</v>
      </c>
      <c r="F34">
        <v>3</v>
      </c>
      <c r="G34" s="4">
        <v>22000</v>
      </c>
      <c r="H34" s="4" t="str">
        <f>IF(Table2[[#This Row],[Price]]=0,"No","Yes")</f>
        <v>Yes</v>
      </c>
      <c r="I34" t="s">
        <v>44</v>
      </c>
      <c r="J34" t="s">
        <v>47</v>
      </c>
      <c r="K34">
        <v>66000</v>
      </c>
      <c r="L34">
        <v>1</v>
      </c>
      <c r="M34">
        <v>2023</v>
      </c>
    </row>
    <row r="35" spans="1:13" x14ac:dyDescent="0.35">
      <c r="A35">
        <v>100034</v>
      </c>
      <c r="B35" s="1">
        <v>44928.375</v>
      </c>
      <c r="C35" t="s">
        <v>29</v>
      </c>
      <c r="D35" t="s">
        <v>32</v>
      </c>
      <c r="E35" t="s">
        <v>39</v>
      </c>
      <c r="F35">
        <v>1</v>
      </c>
      <c r="G35" s="4">
        <v>5000</v>
      </c>
      <c r="H35" s="4" t="str">
        <f>IF(Table2[[#This Row],[Price]]=0,"No","Yes")</f>
        <v>Yes</v>
      </c>
      <c r="I35" t="s">
        <v>44</v>
      </c>
      <c r="J35" t="s">
        <v>47</v>
      </c>
      <c r="K35">
        <v>5000</v>
      </c>
      <c r="L35">
        <v>1</v>
      </c>
      <c r="M35">
        <v>2023</v>
      </c>
    </row>
    <row r="36" spans="1:13" x14ac:dyDescent="0.35">
      <c r="A36">
        <v>100035</v>
      </c>
      <c r="B36" s="1">
        <v>44928.416666666657</v>
      </c>
      <c r="C36" t="s">
        <v>18</v>
      </c>
      <c r="D36" t="s">
        <v>36</v>
      </c>
      <c r="E36" t="s">
        <v>39</v>
      </c>
      <c r="F36">
        <v>3</v>
      </c>
      <c r="G36" s="4">
        <v>45000</v>
      </c>
      <c r="H36" s="4" t="str">
        <f>IF(Table2[[#This Row],[Price]]=0,"No","Yes")</f>
        <v>Yes</v>
      </c>
      <c r="I36" t="s">
        <v>43</v>
      </c>
      <c r="J36" t="s">
        <v>45</v>
      </c>
      <c r="K36">
        <v>135000</v>
      </c>
      <c r="L36">
        <v>1</v>
      </c>
      <c r="M36">
        <v>2023</v>
      </c>
    </row>
    <row r="37" spans="1:13" x14ac:dyDescent="0.35">
      <c r="A37">
        <v>100036</v>
      </c>
      <c r="B37" s="1">
        <v>44928.458333333343</v>
      </c>
      <c r="C37" t="s">
        <v>30</v>
      </c>
      <c r="D37" t="s">
        <v>37</v>
      </c>
      <c r="E37" t="s">
        <v>40</v>
      </c>
      <c r="F37">
        <v>3</v>
      </c>
      <c r="G37" s="4">
        <v>22000</v>
      </c>
      <c r="H37" s="4" t="str">
        <f>IF(Table2[[#This Row],[Price]]=0,"No","Yes")</f>
        <v>Yes</v>
      </c>
      <c r="I37" t="s">
        <v>43</v>
      </c>
      <c r="J37" t="s">
        <v>47</v>
      </c>
      <c r="K37">
        <v>66000</v>
      </c>
      <c r="L37">
        <v>1</v>
      </c>
      <c r="M37">
        <v>2023</v>
      </c>
    </row>
    <row r="38" spans="1:13" x14ac:dyDescent="0.35">
      <c r="A38">
        <v>100037</v>
      </c>
      <c r="B38" s="1">
        <v>44928.5</v>
      </c>
      <c r="C38" t="s">
        <v>29</v>
      </c>
      <c r="D38" t="s">
        <v>38</v>
      </c>
      <c r="E38" t="s">
        <v>39</v>
      </c>
      <c r="F38">
        <v>5</v>
      </c>
      <c r="G38" s="4">
        <v>35000</v>
      </c>
      <c r="H38" s="4" t="str">
        <f>IF(Table2[[#This Row],[Price]]=0,"No","Yes")</f>
        <v>Yes</v>
      </c>
      <c r="I38" t="s">
        <v>42</v>
      </c>
      <c r="J38" t="s">
        <v>47</v>
      </c>
      <c r="K38">
        <v>175000</v>
      </c>
      <c r="L38">
        <v>1</v>
      </c>
      <c r="M38">
        <v>2023</v>
      </c>
    </row>
    <row r="39" spans="1:13" x14ac:dyDescent="0.35">
      <c r="A39">
        <v>100038</v>
      </c>
      <c r="B39" s="1">
        <v>44928.541666666657</v>
      </c>
      <c r="C39" t="s">
        <v>28</v>
      </c>
      <c r="D39" t="s">
        <v>32</v>
      </c>
      <c r="E39" t="s">
        <v>40</v>
      </c>
      <c r="F39">
        <v>5</v>
      </c>
      <c r="G39" s="4">
        <v>65000</v>
      </c>
      <c r="H39" s="4" t="str">
        <f>IF(Table2[[#This Row],[Price]]=0,"No","Yes")</f>
        <v>Yes</v>
      </c>
      <c r="I39" t="s">
        <v>42</v>
      </c>
      <c r="J39" t="s">
        <v>48</v>
      </c>
      <c r="K39">
        <v>325000</v>
      </c>
      <c r="L39">
        <v>1</v>
      </c>
      <c r="M39">
        <v>2023</v>
      </c>
    </row>
    <row r="40" spans="1:13" x14ac:dyDescent="0.35">
      <c r="A40">
        <v>100039</v>
      </c>
      <c r="B40" s="1">
        <v>44928.583333333343</v>
      </c>
      <c r="C40" t="s">
        <v>20</v>
      </c>
      <c r="D40" t="s">
        <v>37</v>
      </c>
      <c r="E40" t="s">
        <v>40</v>
      </c>
      <c r="F40">
        <v>3</v>
      </c>
      <c r="G40" s="4">
        <v>1500</v>
      </c>
      <c r="H40" s="4" t="str">
        <f>IF(Table2[[#This Row],[Price]]=0,"No","Yes")</f>
        <v>Yes</v>
      </c>
      <c r="I40" t="s">
        <v>42</v>
      </c>
      <c r="J40" t="s">
        <v>51</v>
      </c>
      <c r="K40">
        <v>4500</v>
      </c>
      <c r="L40">
        <v>1</v>
      </c>
      <c r="M40">
        <v>2023</v>
      </c>
    </row>
    <row r="41" spans="1:13" x14ac:dyDescent="0.35">
      <c r="A41">
        <v>100040</v>
      </c>
      <c r="B41" s="1">
        <v>44928.625</v>
      </c>
      <c r="C41" t="s">
        <v>13</v>
      </c>
      <c r="D41" t="s">
        <v>35</v>
      </c>
      <c r="E41" t="s">
        <v>40</v>
      </c>
      <c r="F41">
        <v>3</v>
      </c>
      <c r="G41" s="4">
        <v>18000</v>
      </c>
      <c r="H41" s="4" t="str">
        <f>IF(Table2[[#This Row],[Price]]=0,"No","Yes")</f>
        <v>Yes</v>
      </c>
      <c r="I41" t="s">
        <v>42</v>
      </c>
      <c r="J41" t="s">
        <v>49</v>
      </c>
      <c r="K41">
        <v>54000</v>
      </c>
      <c r="L41">
        <v>1</v>
      </c>
      <c r="M41">
        <v>2023</v>
      </c>
    </row>
    <row r="42" spans="1:13" hidden="1" x14ac:dyDescent="0.35">
      <c r="A42">
        <v>100041</v>
      </c>
      <c r="B42" s="1">
        <v>44928.666666666657</v>
      </c>
      <c r="C42" t="s">
        <v>14</v>
      </c>
      <c r="D42" t="s">
        <v>34</v>
      </c>
      <c r="E42" t="s">
        <v>40</v>
      </c>
      <c r="F42">
        <v>2</v>
      </c>
      <c r="H42" s="4" t="str">
        <f>IF(Table2[[#This Row],[Price]]=0,"No","Yes")</f>
        <v>No</v>
      </c>
      <c r="I42" t="s">
        <v>42</v>
      </c>
      <c r="J42" t="s">
        <v>50</v>
      </c>
      <c r="K42">
        <v>10000</v>
      </c>
      <c r="L42">
        <v>1</v>
      </c>
      <c r="M42">
        <v>2023</v>
      </c>
    </row>
    <row r="43" spans="1:13" x14ac:dyDescent="0.35">
      <c r="A43">
        <v>100042</v>
      </c>
      <c r="B43" s="1">
        <v>44928.708333333343</v>
      </c>
      <c r="C43" t="s">
        <v>12</v>
      </c>
      <c r="D43" t="s">
        <v>34</v>
      </c>
      <c r="E43" t="s">
        <v>39</v>
      </c>
      <c r="F43">
        <v>5</v>
      </c>
      <c r="G43" s="4">
        <v>12000</v>
      </c>
      <c r="H43" s="4" t="str">
        <f>IF(Table2[[#This Row],[Price]]=0,"No","Yes")</f>
        <v>Yes</v>
      </c>
      <c r="I43" t="s">
        <v>44</v>
      </c>
      <c r="J43" t="s">
        <v>46</v>
      </c>
      <c r="K43">
        <v>60000</v>
      </c>
      <c r="L43">
        <v>1</v>
      </c>
      <c r="M43">
        <v>2023</v>
      </c>
    </row>
    <row r="44" spans="1:13" x14ac:dyDescent="0.35">
      <c r="A44">
        <v>100043</v>
      </c>
      <c r="B44" s="1">
        <v>44928.75</v>
      </c>
      <c r="C44" t="s">
        <v>21</v>
      </c>
      <c r="D44" t="s">
        <v>35</v>
      </c>
      <c r="E44" t="s">
        <v>39</v>
      </c>
      <c r="F44">
        <v>5</v>
      </c>
      <c r="G44" s="4">
        <v>18000</v>
      </c>
      <c r="H44" s="4" t="str">
        <f>IF(Table2[[#This Row],[Price]]=0,"No","Yes")</f>
        <v>Yes</v>
      </c>
      <c r="I44" t="s">
        <v>43</v>
      </c>
      <c r="J44" t="s">
        <v>45</v>
      </c>
      <c r="K44">
        <v>90000</v>
      </c>
      <c r="L44">
        <v>1</v>
      </c>
      <c r="M44">
        <v>2023</v>
      </c>
    </row>
    <row r="45" spans="1:13" x14ac:dyDescent="0.35">
      <c r="A45">
        <v>100044</v>
      </c>
      <c r="B45" s="1">
        <v>44928.791666666657</v>
      </c>
      <c r="C45" t="s">
        <v>16</v>
      </c>
      <c r="D45" t="s">
        <v>36</v>
      </c>
      <c r="E45" t="s">
        <v>39</v>
      </c>
      <c r="F45">
        <v>4</v>
      </c>
      <c r="G45" s="4">
        <v>1500</v>
      </c>
      <c r="H45" s="4" t="str">
        <f>IF(Table2[[#This Row],[Price]]=0,"No","Yes")</f>
        <v>Yes</v>
      </c>
      <c r="I45" t="s">
        <v>41</v>
      </c>
      <c r="J45" t="s">
        <v>50</v>
      </c>
      <c r="K45">
        <v>6000</v>
      </c>
      <c r="L45">
        <v>1</v>
      </c>
      <c r="M45">
        <v>2023</v>
      </c>
    </row>
    <row r="46" spans="1:13" x14ac:dyDescent="0.35">
      <c r="A46">
        <v>100045</v>
      </c>
      <c r="B46" s="1">
        <v>44928.833333333343</v>
      </c>
      <c r="C46" t="s">
        <v>14</v>
      </c>
      <c r="D46" t="s">
        <v>38</v>
      </c>
      <c r="E46" t="s">
        <v>40</v>
      </c>
      <c r="F46">
        <v>3</v>
      </c>
      <c r="G46" s="4">
        <v>2500</v>
      </c>
      <c r="H46" s="4" t="str">
        <f>IF(Table2[[#This Row],[Price]]=0,"No","Yes")</f>
        <v>Yes</v>
      </c>
      <c r="I46" t="s">
        <v>42</v>
      </c>
      <c r="J46" t="s">
        <v>50</v>
      </c>
      <c r="K46">
        <v>7500</v>
      </c>
      <c r="L46">
        <v>1</v>
      </c>
      <c r="M46">
        <v>2023</v>
      </c>
    </row>
    <row r="47" spans="1:13" x14ac:dyDescent="0.35">
      <c r="A47">
        <v>100046</v>
      </c>
      <c r="B47" s="1">
        <v>44928.875</v>
      </c>
      <c r="C47" t="s">
        <v>19</v>
      </c>
      <c r="D47" t="s">
        <v>38</v>
      </c>
      <c r="E47" t="s">
        <v>39</v>
      </c>
      <c r="F47">
        <v>4</v>
      </c>
      <c r="G47" s="4">
        <v>12000</v>
      </c>
      <c r="H47" s="4" t="str">
        <f>IF(Table2[[#This Row],[Price]]=0,"No","Yes")</f>
        <v>Yes</v>
      </c>
      <c r="I47" t="s">
        <v>44</v>
      </c>
      <c r="J47" t="s">
        <v>50</v>
      </c>
      <c r="K47">
        <v>48000</v>
      </c>
      <c r="L47">
        <v>1</v>
      </c>
      <c r="M47">
        <v>2023</v>
      </c>
    </row>
    <row r="48" spans="1:13" x14ac:dyDescent="0.35">
      <c r="A48">
        <v>100047</v>
      </c>
      <c r="B48" s="1">
        <v>44928.916666666657</v>
      </c>
      <c r="C48" t="s">
        <v>30</v>
      </c>
      <c r="D48" t="s">
        <v>38</v>
      </c>
      <c r="E48" t="s">
        <v>40</v>
      </c>
      <c r="F48">
        <v>3</v>
      </c>
      <c r="G48" s="4">
        <v>22000</v>
      </c>
      <c r="H48" s="4" t="str">
        <f>IF(Table2[[#This Row],[Price]]=0,"No","Yes")</f>
        <v>Yes</v>
      </c>
      <c r="I48" t="s">
        <v>41</v>
      </c>
      <c r="J48" t="s">
        <v>45</v>
      </c>
      <c r="K48">
        <v>66000</v>
      </c>
      <c r="L48">
        <v>1</v>
      </c>
      <c r="M48">
        <v>2023</v>
      </c>
    </row>
    <row r="49" spans="1:13" x14ac:dyDescent="0.35">
      <c r="A49">
        <v>100048</v>
      </c>
      <c r="B49" s="1">
        <v>44928.958333333343</v>
      </c>
      <c r="C49" t="s">
        <v>24</v>
      </c>
      <c r="D49" t="s">
        <v>38</v>
      </c>
      <c r="E49" t="s">
        <v>39</v>
      </c>
      <c r="F49">
        <v>5</v>
      </c>
      <c r="G49" s="4">
        <v>65000</v>
      </c>
      <c r="H49" s="4" t="str">
        <f>IF(Table2[[#This Row],[Price]]=0,"No","Yes")</f>
        <v>Yes</v>
      </c>
      <c r="I49" t="s">
        <v>43</v>
      </c>
      <c r="J49" t="s">
        <v>50</v>
      </c>
      <c r="K49">
        <v>325000</v>
      </c>
      <c r="L49">
        <v>1</v>
      </c>
      <c r="M49">
        <v>2023</v>
      </c>
    </row>
    <row r="50" spans="1:13" x14ac:dyDescent="0.35">
      <c r="A50">
        <v>100049</v>
      </c>
      <c r="B50" s="1">
        <v>44929</v>
      </c>
      <c r="C50" t="s">
        <v>18</v>
      </c>
      <c r="D50" t="s">
        <v>37</v>
      </c>
      <c r="E50" t="s">
        <v>40</v>
      </c>
      <c r="F50">
        <v>2</v>
      </c>
      <c r="G50" s="4">
        <v>45000</v>
      </c>
      <c r="H50" s="4" t="str">
        <f>IF(Table2[[#This Row],[Price]]=0,"No","Yes")</f>
        <v>Yes</v>
      </c>
      <c r="I50" t="s">
        <v>43</v>
      </c>
      <c r="J50" t="s">
        <v>49</v>
      </c>
      <c r="K50">
        <v>90000</v>
      </c>
      <c r="L50">
        <v>1</v>
      </c>
      <c r="M50">
        <v>2023</v>
      </c>
    </row>
    <row r="51" spans="1:13" x14ac:dyDescent="0.35">
      <c r="A51">
        <v>100050</v>
      </c>
      <c r="B51" s="1">
        <v>44929.041666666657</v>
      </c>
      <c r="C51" t="s">
        <v>29</v>
      </c>
      <c r="D51" t="s">
        <v>36</v>
      </c>
      <c r="E51" t="s">
        <v>40</v>
      </c>
      <c r="F51">
        <v>3</v>
      </c>
      <c r="G51" s="4">
        <v>22000</v>
      </c>
      <c r="H51" s="4" t="str">
        <f>IF(Table2[[#This Row],[Price]]=0,"No","Yes")</f>
        <v>Yes</v>
      </c>
      <c r="I51" t="s">
        <v>43</v>
      </c>
      <c r="J51" t="s">
        <v>51</v>
      </c>
      <c r="K51">
        <v>66000</v>
      </c>
      <c r="L51">
        <v>1</v>
      </c>
      <c r="M51">
        <v>2023</v>
      </c>
    </row>
    <row r="52" spans="1:13" hidden="1" x14ac:dyDescent="0.35">
      <c r="A52">
        <v>100051</v>
      </c>
      <c r="B52" s="1">
        <v>44929.083333333343</v>
      </c>
      <c r="C52" t="s">
        <v>16</v>
      </c>
      <c r="D52" t="s">
        <v>35</v>
      </c>
      <c r="E52" t="s">
        <v>39</v>
      </c>
      <c r="F52">
        <v>3</v>
      </c>
      <c r="H52" s="4" t="str">
        <f>IF(Table2[[#This Row],[Price]]=0,"No","Yes")</f>
        <v>No</v>
      </c>
      <c r="I52" t="s">
        <v>43</v>
      </c>
      <c r="J52" t="s">
        <v>48</v>
      </c>
      <c r="K52">
        <v>7500</v>
      </c>
      <c r="L52">
        <v>1</v>
      </c>
      <c r="M52">
        <v>2023</v>
      </c>
    </row>
    <row r="53" spans="1:13" hidden="1" x14ac:dyDescent="0.35">
      <c r="A53">
        <v>100052</v>
      </c>
      <c r="B53" s="1">
        <v>44929.125</v>
      </c>
      <c r="C53" t="s">
        <v>18</v>
      </c>
      <c r="D53" t="s">
        <v>37</v>
      </c>
      <c r="E53" t="s">
        <v>40</v>
      </c>
      <c r="F53">
        <v>3</v>
      </c>
      <c r="H53" s="4" t="str">
        <f>IF(Table2[[#This Row],[Price]]=0,"No","Yes")</f>
        <v>No</v>
      </c>
      <c r="I53" t="s">
        <v>41</v>
      </c>
      <c r="J53" t="s">
        <v>49</v>
      </c>
      <c r="K53">
        <v>135000</v>
      </c>
      <c r="L53">
        <v>1</v>
      </c>
      <c r="M53">
        <v>2023</v>
      </c>
    </row>
    <row r="54" spans="1:13" x14ac:dyDescent="0.35">
      <c r="A54">
        <v>100053</v>
      </c>
      <c r="B54" s="1">
        <v>44929.166666666657</v>
      </c>
      <c r="C54" t="s">
        <v>20</v>
      </c>
      <c r="D54" t="s">
        <v>37</v>
      </c>
      <c r="E54" t="s">
        <v>39</v>
      </c>
      <c r="F54">
        <v>4</v>
      </c>
      <c r="G54" s="4">
        <v>12000</v>
      </c>
      <c r="H54" s="4" t="str">
        <f>IF(Table2[[#This Row],[Price]]=0,"No","Yes")</f>
        <v>Yes</v>
      </c>
      <c r="I54" t="s">
        <v>43</v>
      </c>
      <c r="J54" t="s">
        <v>49</v>
      </c>
      <c r="K54">
        <v>48000</v>
      </c>
      <c r="L54">
        <v>1</v>
      </c>
      <c r="M54">
        <v>2023</v>
      </c>
    </row>
    <row r="55" spans="1:13" x14ac:dyDescent="0.35">
      <c r="A55">
        <v>100054</v>
      </c>
      <c r="B55" s="1">
        <v>44929.208333333343</v>
      </c>
      <c r="C55" t="s">
        <v>22</v>
      </c>
      <c r="D55" t="s">
        <v>35</v>
      </c>
      <c r="E55" t="s">
        <v>40</v>
      </c>
      <c r="F55">
        <v>4</v>
      </c>
      <c r="G55" s="4">
        <v>35000</v>
      </c>
      <c r="H55" s="4" t="str">
        <f>IF(Table2[[#This Row],[Price]]=0,"No","Yes")</f>
        <v>Yes</v>
      </c>
      <c r="I55" t="s">
        <v>41</v>
      </c>
      <c r="J55" t="s">
        <v>49</v>
      </c>
      <c r="K55">
        <v>140000</v>
      </c>
      <c r="L55">
        <v>1</v>
      </c>
      <c r="M55">
        <v>2023</v>
      </c>
    </row>
    <row r="56" spans="1:13" x14ac:dyDescent="0.35">
      <c r="A56">
        <v>100055</v>
      </c>
      <c r="B56" s="1">
        <v>44929.25</v>
      </c>
      <c r="C56" t="s">
        <v>25</v>
      </c>
      <c r="D56" t="s">
        <v>34</v>
      </c>
      <c r="E56" t="s">
        <v>40</v>
      </c>
      <c r="F56">
        <v>3</v>
      </c>
      <c r="G56" s="4">
        <v>18000</v>
      </c>
      <c r="H56" s="4" t="str">
        <f>IF(Table2[[#This Row],[Price]]=0,"No","Yes")</f>
        <v>Yes</v>
      </c>
      <c r="I56" t="s">
        <v>41</v>
      </c>
      <c r="J56" t="s">
        <v>45</v>
      </c>
      <c r="K56">
        <v>54000</v>
      </c>
      <c r="L56">
        <v>1</v>
      </c>
      <c r="M56">
        <v>2023</v>
      </c>
    </row>
    <row r="57" spans="1:13" x14ac:dyDescent="0.35">
      <c r="A57">
        <v>100056</v>
      </c>
      <c r="B57" s="1">
        <v>44929.291666666657</v>
      </c>
      <c r="C57" t="s">
        <v>18</v>
      </c>
      <c r="D57" t="s">
        <v>35</v>
      </c>
      <c r="E57" t="s">
        <v>40</v>
      </c>
      <c r="F57">
        <v>2</v>
      </c>
      <c r="G57" s="4">
        <v>65000</v>
      </c>
      <c r="H57" s="4" t="str">
        <f>IF(Table2[[#This Row],[Price]]=0,"No","Yes")</f>
        <v>Yes</v>
      </c>
      <c r="I57" t="s">
        <v>41</v>
      </c>
      <c r="J57" t="s">
        <v>46</v>
      </c>
      <c r="K57">
        <v>130000</v>
      </c>
      <c r="L57">
        <v>1</v>
      </c>
      <c r="M57">
        <v>2023</v>
      </c>
    </row>
    <row r="58" spans="1:13" x14ac:dyDescent="0.35">
      <c r="A58">
        <v>100057</v>
      </c>
      <c r="B58" s="1">
        <v>44929.333333333343</v>
      </c>
      <c r="C58" t="s">
        <v>29</v>
      </c>
      <c r="D58" t="s">
        <v>38</v>
      </c>
      <c r="E58" t="s">
        <v>39</v>
      </c>
      <c r="F58">
        <v>1</v>
      </c>
      <c r="G58" s="4">
        <v>35000</v>
      </c>
      <c r="H58" s="4" t="str">
        <f>IF(Table2[[#This Row],[Price]]=0,"No","Yes")</f>
        <v>Yes</v>
      </c>
      <c r="I58" t="s">
        <v>42</v>
      </c>
      <c r="J58" t="s">
        <v>46</v>
      </c>
      <c r="K58">
        <v>35000</v>
      </c>
      <c r="L58">
        <v>1</v>
      </c>
      <c r="M58">
        <v>2023</v>
      </c>
    </row>
    <row r="59" spans="1:13" x14ac:dyDescent="0.35">
      <c r="A59">
        <v>100058</v>
      </c>
      <c r="B59" s="1">
        <v>44929.375</v>
      </c>
      <c r="C59" t="s">
        <v>21</v>
      </c>
      <c r="D59" t="s">
        <v>36</v>
      </c>
      <c r="E59" t="s">
        <v>39</v>
      </c>
      <c r="F59">
        <v>1</v>
      </c>
      <c r="G59" s="4">
        <v>12000</v>
      </c>
      <c r="H59" s="4" t="str">
        <f>IF(Table2[[#This Row],[Price]]=0,"No","Yes")</f>
        <v>Yes</v>
      </c>
      <c r="I59" t="s">
        <v>42</v>
      </c>
      <c r="J59" t="s">
        <v>48</v>
      </c>
      <c r="K59">
        <v>12000</v>
      </c>
      <c r="L59">
        <v>1</v>
      </c>
      <c r="M59">
        <v>2023</v>
      </c>
    </row>
    <row r="60" spans="1:13" x14ac:dyDescent="0.35">
      <c r="A60">
        <v>100059</v>
      </c>
      <c r="B60" s="1">
        <v>44929.416666666657</v>
      </c>
      <c r="C60" t="s">
        <v>20</v>
      </c>
      <c r="D60" t="s">
        <v>37</v>
      </c>
      <c r="E60" t="s">
        <v>40</v>
      </c>
      <c r="F60">
        <v>5</v>
      </c>
      <c r="G60" s="4">
        <v>35000</v>
      </c>
      <c r="H60" s="4" t="str">
        <f>IF(Table2[[#This Row],[Price]]=0,"No","Yes")</f>
        <v>Yes</v>
      </c>
      <c r="I60" t="s">
        <v>41</v>
      </c>
      <c r="J60" t="s">
        <v>46</v>
      </c>
      <c r="K60">
        <v>175000</v>
      </c>
      <c r="L60">
        <v>1</v>
      </c>
      <c r="M60">
        <v>2023</v>
      </c>
    </row>
    <row r="61" spans="1:13" x14ac:dyDescent="0.35">
      <c r="A61">
        <v>100060</v>
      </c>
      <c r="B61" s="1">
        <v>44929.458333333343</v>
      </c>
      <c r="C61" t="s">
        <v>25</v>
      </c>
      <c r="D61" t="s">
        <v>32</v>
      </c>
      <c r="E61" t="s">
        <v>40</v>
      </c>
      <c r="F61">
        <v>4</v>
      </c>
      <c r="G61" s="4">
        <v>35000</v>
      </c>
      <c r="H61" s="4" t="str">
        <f>IF(Table2[[#This Row],[Price]]=0,"No","Yes")</f>
        <v>Yes</v>
      </c>
      <c r="I61" t="s">
        <v>42</v>
      </c>
      <c r="J61" t="s">
        <v>49</v>
      </c>
      <c r="K61">
        <v>140000</v>
      </c>
      <c r="L61">
        <v>1</v>
      </c>
      <c r="M61">
        <v>2023</v>
      </c>
    </row>
    <row r="62" spans="1:13" x14ac:dyDescent="0.35">
      <c r="A62">
        <v>100061</v>
      </c>
      <c r="B62" s="1">
        <v>44929.5</v>
      </c>
      <c r="C62" t="s">
        <v>18</v>
      </c>
      <c r="D62" t="s">
        <v>32</v>
      </c>
      <c r="E62" t="s">
        <v>39</v>
      </c>
      <c r="F62">
        <v>2</v>
      </c>
      <c r="G62" s="4">
        <v>55000</v>
      </c>
      <c r="H62" s="4" t="str">
        <f>IF(Table2[[#This Row],[Price]]=0,"No","Yes")</f>
        <v>Yes</v>
      </c>
      <c r="I62" t="s">
        <v>44</v>
      </c>
      <c r="J62" t="s">
        <v>50</v>
      </c>
      <c r="K62">
        <v>110000</v>
      </c>
      <c r="L62">
        <v>1</v>
      </c>
      <c r="M62">
        <v>2023</v>
      </c>
    </row>
    <row r="63" spans="1:13" x14ac:dyDescent="0.35">
      <c r="A63">
        <v>100062</v>
      </c>
      <c r="B63" s="1">
        <v>44929.541666666657</v>
      </c>
      <c r="C63" t="s">
        <v>30</v>
      </c>
      <c r="D63" t="s">
        <v>38</v>
      </c>
      <c r="E63" t="s">
        <v>39</v>
      </c>
      <c r="F63">
        <v>5</v>
      </c>
      <c r="G63" s="4">
        <v>45000</v>
      </c>
      <c r="H63" s="4" t="str">
        <f>IF(Table2[[#This Row],[Price]]=0,"No","Yes")</f>
        <v>Yes</v>
      </c>
      <c r="I63" t="s">
        <v>42</v>
      </c>
      <c r="J63" t="s">
        <v>46</v>
      </c>
      <c r="K63">
        <v>225000</v>
      </c>
      <c r="L63">
        <v>1</v>
      </c>
      <c r="M63">
        <v>2023</v>
      </c>
    </row>
    <row r="64" spans="1:13" x14ac:dyDescent="0.35">
      <c r="A64">
        <v>100063</v>
      </c>
      <c r="B64" s="1">
        <v>44929.583333333343</v>
      </c>
      <c r="C64" t="s">
        <v>26</v>
      </c>
      <c r="D64" t="s">
        <v>33</v>
      </c>
      <c r="E64" t="s">
        <v>39</v>
      </c>
      <c r="F64">
        <v>3</v>
      </c>
      <c r="G64" s="4">
        <v>45000</v>
      </c>
      <c r="H64" s="4" t="str">
        <f>IF(Table2[[#This Row],[Price]]=0,"No","Yes")</f>
        <v>Yes</v>
      </c>
      <c r="I64" t="s">
        <v>42</v>
      </c>
      <c r="J64" t="s">
        <v>49</v>
      </c>
      <c r="K64">
        <v>135000</v>
      </c>
      <c r="L64">
        <v>1</v>
      </c>
      <c r="M64">
        <v>2023</v>
      </c>
    </row>
    <row r="65" spans="1:13" x14ac:dyDescent="0.35">
      <c r="A65">
        <v>100064</v>
      </c>
      <c r="B65" s="1">
        <v>44929.625</v>
      </c>
      <c r="C65" t="s">
        <v>14</v>
      </c>
      <c r="D65" t="s">
        <v>34</v>
      </c>
      <c r="E65" t="s">
        <v>39</v>
      </c>
      <c r="F65">
        <v>3</v>
      </c>
      <c r="G65" s="4">
        <v>35000</v>
      </c>
      <c r="H65" s="4" t="str">
        <f>IF(Table2[[#This Row],[Price]]=0,"No","Yes")</f>
        <v>Yes</v>
      </c>
      <c r="I65" t="s">
        <v>44</v>
      </c>
      <c r="J65" t="s">
        <v>47</v>
      </c>
      <c r="K65">
        <v>105000</v>
      </c>
      <c r="L65">
        <v>1</v>
      </c>
      <c r="M65">
        <v>2023</v>
      </c>
    </row>
    <row r="66" spans="1:13" x14ac:dyDescent="0.35">
      <c r="A66">
        <v>100065</v>
      </c>
      <c r="B66" s="1">
        <v>44929.666666666657</v>
      </c>
      <c r="C66" t="s">
        <v>16</v>
      </c>
      <c r="D66" t="s">
        <v>37</v>
      </c>
      <c r="E66" t="s">
        <v>40</v>
      </c>
      <c r="F66">
        <v>5</v>
      </c>
      <c r="G66" s="4">
        <v>12000</v>
      </c>
      <c r="H66" s="4" t="str">
        <f>IF(Table2[[#This Row],[Price]]=0,"No","Yes")</f>
        <v>Yes</v>
      </c>
      <c r="I66" t="s">
        <v>43</v>
      </c>
      <c r="J66" t="s">
        <v>51</v>
      </c>
      <c r="K66">
        <v>60000</v>
      </c>
      <c r="L66">
        <v>1</v>
      </c>
      <c r="M66">
        <v>2023</v>
      </c>
    </row>
    <row r="67" spans="1:13" x14ac:dyDescent="0.35">
      <c r="A67">
        <v>100066</v>
      </c>
      <c r="B67" s="1">
        <v>44929.708333333343</v>
      </c>
      <c r="C67" t="s">
        <v>30</v>
      </c>
      <c r="D67" t="s">
        <v>32</v>
      </c>
      <c r="E67" t="s">
        <v>39</v>
      </c>
      <c r="F67">
        <v>3</v>
      </c>
      <c r="G67" s="4">
        <v>35000</v>
      </c>
      <c r="H67" s="4" t="str">
        <f>IF(Table2[[#This Row],[Price]]=0,"No","Yes")</f>
        <v>Yes</v>
      </c>
      <c r="I67" t="s">
        <v>44</v>
      </c>
      <c r="J67" t="s">
        <v>50</v>
      </c>
      <c r="K67">
        <v>105000</v>
      </c>
      <c r="L67">
        <v>1</v>
      </c>
      <c r="M67">
        <v>2023</v>
      </c>
    </row>
    <row r="68" spans="1:13" x14ac:dyDescent="0.35">
      <c r="A68">
        <v>100067</v>
      </c>
      <c r="B68" s="1">
        <v>44929.75</v>
      </c>
      <c r="C68" t="s">
        <v>16</v>
      </c>
      <c r="D68" t="s">
        <v>33</v>
      </c>
      <c r="E68" t="s">
        <v>39</v>
      </c>
      <c r="F68">
        <v>2</v>
      </c>
      <c r="G68" s="4">
        <v>1500</v>
      </c>
      <c r="H68" s="4" t="str">
        <f>IF(Table2[[#This Row],[Price]]=0,"No","Yes")</f>
        <v>Yes</v>
      </c>
      <c r="I68" t="s">
        <v>42</v>
      </c>
      <c r="J68" t="s">
        <v>48</v>
      </c>
      <c r="K68">
        <v>3000</v>
      </c>
      <c r="L68">
        <v>1</v>
      </c>
      <c r="M68">
        <v>2023</v>
      </c>
    </row>
    <row r="69" spans="1:13" x14ac:dyDescent="0.35">
      <c r="A69">
        <v>100068</v>
      </c>
      <c r="B69" s="1">
        <v>44929.791666666657</v>
      </c>
      <c r="C69" t="s">
        <v>26</v>
      </c>
      <c r="D69" t="s">
        <v>38</v>
      </c>
      <c r="E69" t="s">
        <v>40</v>
      </c>
      <c r="F69">
        <v>4</v>
      </c>
      <c r="G69" s="4">
        <v>12000</v>
      </c>
      <c r="H69" s="4" t="str">
        <f>IF(Table2[[#This Row],[Price]]=0,"No","Yes")</f>
        <v>Yes</v>
      </c>
      <c r="I69" t="s">
        <v>44</v>
      </c>
      <c r="J69" t="s">
        <v>45</v>
      </c>
      <c r="K69">
        <v>48000</v>
      </c>
      <c r="L69">
        <v>1</v>
      </c>
      <c r="M69">
        <v>2023</v>
      </c>
    </row>
    <row r="70" spans="1:13" x14ac:dyDescent="0.35">
      <c r="A70">
        <v>100069</v>
      </c>
      <c r="B70" s="1">
        <v>44929.833333333343</v>
      </c>
      <c r="C70" t="s">
        <v>31</v>
      </c>
      <c r="D70" t="s">
        <v>37</v>
      </c>
      <c r="E70" t="s">
        <v>39</v>
      </c>
      <c r="F70">
        <v>4</v>
      </c>
      <c r="G70" s="4">
        <v>18000</v>
      </c>
      <c r="H70" s="4" t="str">
        <f>IF(Table2[[#This Row],[Price]]=0,"No","Yes")</f>
        <v>Yes</v>
      </c>
      <c r="I70" t="s">
        <v>43</v>
      </c>
      <c r="J70" t="s">
        <v>47</v>
      </c>
      <c r="K70">
        <v>72000</v>
      </c>
      <c r="L70">
        <v>1</v>
      </c>
      <c r="M70">
        <v>2023</v>
      </c>
    </row>
    <row r="71" spans="1:13" x14ac:dyDescent="0.35">
      <c r="A71">
        <v>100070</v>
      </c>
      <c r="B71" s="1">
        <v>44929.875</v>
      </c>
      <c r="C71" t="s">
        <v>29</v>
      </c>
      <c r="D71" t="s">
        <v>37</v>
      </c>
      <c r="E71" t="s">
        <v>39</v>
      </c>
      <c r="F71">
        <v>5</v>
      </c>
      <c r="G71" s="4">
        <v>55000</v>
      </c>
      <c r="H71" s="4" t="str">
        <f>IF(Table2[[#This Row],[Price]]=0,"No","Yes")</f>
        <v>Yes</v>
      </c>
      <c r="I71" t="s">
        <v>41</v>
      </c>
      <c r="J71" t="s">
        <v>46</v>
      </c>
      <c r="K71">
        <v>275000</v>
      </c>
      <c r="L71">
        <v>1</v>
      </c>
      <c r="M71">
        <v>2023</v>
      </c>
    </row>
    <row r="72" spans="1:13" x14ac:dyDescent="0.35">
      <c r="A72">
        <v>100071</v>
      </c>
      <c r="B72" s="1">
        <v>44929.916666666657</v>
      </c>
      <c r="C72" t="s">
        <v>14</v>
      </c>
      <c r="D72" t="s">
        <v>37</v>
      </c>
      <c r="E72" t="s">
        <v>39</v>
      </c>
      <c r="F72">
        <v>5</v>
      </c>
      <c r="G72" s="4">
        <v>65000</v>
      </c>
      <c r="H72" s="4" t="str">
        <f>IF(Table2[[#This Row],[Price]]=0,"No","Yes")</f>
        <v>Yes</v>
      </c>
      <c r="I72" t="s">
        <v>43</v>
      </c>
      <c r="J72" t="s">
        <v>50</v>
      </c>
      <c r="K72">
        <v>325000</v>
      </c>
      <c r="L72">
        <v>1</v>
      </c>
      <c r="M72">
        <v>2023</v>
      </c>
    </row>
    <row r="73" spans="1:13" x14ac:dyDescent="0.35">
      <c r="A73">
        <v>100072</v>
      </c>
      <c r="B73" s="1">
        <v>44929.958333333343</v>
      </c>
      <c r="C73" t="s">
        <v>31</v>
      </c>
      <c r="D73" t="s">
        <v>36</v>
      </c>
      <c r="E73" t="s">
        <v>39</v>
      </c>
      <c r="F73">
        <v>4</v>
      </c>
      <c r="G73" s="4">
        <v>35000</v>
      </c>
      <c r="H73" s="4" t="str">
        <f>IF(Table2[[#This Row],[Price]]=0,"No","Yes")</f>
        <v>Yes</v>
      </c>
      <c r="I73" t="s">
        <v>43</v>
      </c>
      <c r="J73" t="s">
        <v>47</v>
      </c>
      <c r="K73">
        <v>140000</v>
      </c>
      <c r="L73">
        <v>1</v>
      </c>
      <c r="M73">
        <v>2023</v>
      </c>
    </row>
    <row r="74" spans="1:13" x14ac:dyDescent="0.35">
      <c r="A74">
        <v>100073</v>
      </c>
      <c r="B74" s="1">
        <v>44930</v>
      </c>
      <c r="C74" t="s">
        <v>28</v>
      </c>
      <c r="D74" t="s">
        <v>32</v>
      </c>
      <c r="E74" t="s">
        <v>39</v>
      </c>
      <c r="F74">
        <v>1</v>
      </c>
      <c r="G74" s="4">
        <v>1500</v>
      </c>
      <c r="H74" s="4" t="str">
        <f>IF(Table2[[#This Row],[Price]]=0,"No","Yes")</f>
        <v>Yes</v>
      </c>
      <c r="I74" t="s">
        <v>42</v>
      </c>
      <c r="J74" t="s">
        <v>48</v>
      </c>
      <c r="K74">
        <v>1500</v>
      </c>
      <c r="L74">
        <v>1</v>
      </c>
      <c r="M74">
        <v>2023</v>
      </c>
    </row>
    <row r="75" spans="1:13" hidden="1" x14ac:dyDescent="0.35">
      <c r="A75">
        <v>100074</v>
      </c>
      <c r="B75" s="1">
        <v>44930.041666666657</v>
      </c>
      <c r="C75" t="s">
        <v>14</v>
      </c>
      <c r="D75" t="s">
        <v>38</v>
      </c>
      <c r="E75" t="s">
        <v>40</v>
      </c>
      <c r="F75">
        <v>4</v>
      </c>
      <c r="H75" s="4" t="str">
        <f>IF(Table2[[#This Row],[Price]]=0,"No","Yes")</f>
        <v>No</v>
      </c>
      <c r="I75" t="s">
        <v>42</v>
      </c>
      <c r="J75" t="s">
        <v>51</v>
      </c>
      <c r="K75">
        <v>140000</v>
      </c>
      <c r="L75">
        <v>1</v>
      </c>
      <c r="M75">
        <v>2023</v>
      </c>
    </row>
    <row r="76" spans="1:13" x14ac:dyDescent="0.35">
      <c r="A76">
        <v>100075</v>
      </c>
      <c r="B76" s="1">
        <v>44930.083333333343</v>
      </c>
      <c r="C76" t="s">
        <v>31</v>
      </c>
      <c r="D76" t="s">
        <v>32</v>
      </c>
      <c r="E76" t="s">
        <v>39</v>
      </c>
      <c r="F76">
        <v>4</v>
      </c>
      <c r="G76" s="4">
        <v>22000</v>
      </c>
      <c r="H76" s="4" t="str">
        <f>IF(Table2[[#This Row],[Price]]=0,"No","Yes")</f>
        <v>Yes</v>
      </c>
      <c r="I76" t="s">
        <v>44</v>
      </c>
      <c r="J76" t="s">
        <v>50</v>
      </c>
      <c r="K76">
        <v>88000</v>
      </c>
      <c r="L76">
        <v>1</v>
      </c>
      <c r="M76">
        <v>2023</v>
      </c>
    </row>
    <row r="77" spans="1:13" x14ac:dyDescent="0.35">
      <c r="A77">
        <v>100076</v>
      </c>
      <c r="B77" s="1">
        <v>44930.125</v>
      </c>
      <c r="C77" t="s">
        <v>23</v>
      </c>
      <c r="D77" t="s">
        <v>36</v>
      </c>
      <c r="E77" t="s">
        <v>39</v>
      </c>
      <c r="F77">
        <v>5</v>
      </c>
      <c r="G77" s="4">
        <v>2500</v>
      </c>
      <c r="H77" s="4" t="str">
        <f>IF(Table2[[#This Row],[Price]]=0,"No","Yes")</f>
        <v>Yes</v>
      </c>
      <c r="I77" t="s">
        <v>43</v>
      </c>
      <c r="J77" t="s">
        <v>47</v>
      </c>
      <c r="K77">
        <v>12500</v>
      </c>
      <c r="L77">
        <v>1</v>
      </c>
      <c r="M77">
        <v>2023</v>
      </c>
    </row>
    <row r="78" spans="1:13" x14ac:dyDescent="0.35">
      <c r="A78">
        <v>100077</v>
      </c>
      <c r="B78" s="1">
        <v>44930.166666666657</v>
      </c>
      <c r="C78" t="s">
        <v>12</v>
      </c>
      <c r="D78" t="s">
        <v>35</v>
      </c>
      <c r="E78" t="s">
        <v>40</v>
      </c>
      <c r="F78">
        <v>3</v>
      </c>
      <c r="G78" s="4">
        <v>18000</v>
      </c>
      <c r="H78" s="4" t="str">
        <f>IF(Table2[[#This Row],[Price]]=0,"No","Yes")</f>
        <v>Yes</v>
      </c>
      <c r="I78" t="s">
        <v>42</v>
      </c>
      <c r="J78" t="s">
        <v>50</v>
      </c>
      <c r="K78">
        <v>54000</v>
      </c>
      <c r="L78">
        <v>1</v>
      </c>
      <c r="M78">
        <v>2023</v>
      </c>
    </row>
    <row r="79" spans="1:13" x14ac:dyDescent="0.35">
      <c r="A79">
        <v>100078</v>
      </c>
      <c r="B79" s="1">
        <v>44930.208333333343</v>
      </c>
      <c r="C79" t="s">
        <v>28</v>
      </c>
      <c r="D79" t="s">
        <v>35</v>
      </c>
      <c r="E79" t="s">
        <v>40</v>
      </c>
      <c r="F79">
        <v>4</v>
      </c>
      <c r="G79" s="4">
        <v>1500</v>
      </c>
      <c r="H79" s="4" t="str">
        <f>IF(Table2[[#This Row],[Price]]=0,"No","Yes")</f>
        <v>Yes</v>
      </c>
      <c r="I79" t="s">
        <v>43</v>
      </c>
      <c r="J79" t="s">
        <v>47</v>
      </c>
      <c r="K79">
        <v>6000</v>
      </c>
      <c r="L79">
        <v>1</v>
      </c>
      <c r="M79">
        <v>2023</v>
      </c>
    </row>
    <row r="80" spans="1:13" x14ac:dyDescent="0.35">
      <c r="A80">
        <v>100079</v>
      </c>
      <c r="B80" s="1">
        <v>44930.25</v>
      </c>
      <c r="C80" t="s">
        <v>23</v>
      </c>
      <c r="D80" t="s">
        <v>36</v>
      </c>
      <c r="E80" t="s">
        <v>39</v>
      </c>
      <c r="F80">
        <v>5</v>
      </c>
      <c r="G80" s="4">
        <v>22000</v>
      </c>
      <c r="H80" s="4" t="str">
        <f>IF(Table2[[#This Row],[Price]]=0,"No","Yes")</f>
        <v>Yes</v>
      </c>
      <c r="I80" t="s">
        <v>41</v>
      </c>
      <c r="J80" t="s">
        <v>45</v>
      </c>
      <c r="K80">
        <v>110000</v>
      </c>
      <c r="L80">
        <v>1</v>
      </c>
      <c r="M80">
        <v>2023</v>
      </c>
    </row>
    <row r="81" spans="1:13" x14ac:dyDescent="0.35">
      <c r="A81">
        <v>100080</v>
      </c>
      <c r="B81" s="1">
        <v>44930.291666666657</v>
      </c>
      <c r="C81" t="s">
        <v>21</v>
      </c>
      <c r="D81" t="s">
        <v>36</v>
      </c>
      <c r="E81" t="s">
        <v>39</v>
      </c>
      <c r="F81">
        <v>4</v>
      </c>
      <c r="G81" s="4">
        <v>22000</v>
      </c>
      <c r="H81" s="4" t="str">
        <f>IF(Table2[[#This Row],[Price]]=0,"No","Yes")</f>
        <v>Yes</v>
      </c>
      <c r="I81" t="s">
        <v>41</v>
      </c>
      <c r="J81" t="s">
        <v>51</v>
      </c>
      <c r="K81">
        <v>88000</v>
      </c>
      <c r="L81">
        <v>1</v>
      </c>
      <c r="M81">
        <v>2023</v>
      </c>
    </row>
    <row r="82" spans="1:13" x14ac:dyDescent="0.35">
      <c r="A82">
        <v>100081</v>
      </c>
      <c r="B82" s="1">
        <v>44930.333333333343</v>
      </c>
      <c r="C82" t="s">
        <v>16</v>
      </c>
      <c r="D82" t="s">
        <v>35</v>
      </c>
      <c r="E82" t="s">
        <v>40</v>
      </c>
      <c r="F82">
        <v>2</v>
      </c>
      <c r="G82" s="4">
        <v>5000</v>
      </c>
      <c r="H82" s="4" t="str">
        <f>IF(Table2[[#This Row],[Price]]=0,"No","Yes")</f>
        <v>Yes</v>
      </c>
      <c r="I82" t="s">
        <v>43</v>
      </c>
      <c r="J82" t="s">
        <v>48</v>
      </c>
      <c r="K82">
        <v>10000</v>
      </c>
      <c r="L82">
        <v>1</v>
      </c>
      <c r="M82">
        <v>2023</v>
      </c>
    </row>
    <row r="83" spans="1:13" x14ac:dyDescent="0.35">
      <c r="A83">
        <v>100082</v>
      </c>
      <c r="B83" s="1">
        <v>44930.375</v>
      </c>
      <c r="C83" t="s">
        <v>15</v>
      </c>
      <c r="D83" t="s">
        <v>36</v>
      </c>
      <c r="E83" t="s">
        <v>39</v>
      </c>
      <c r="F83">
        <v>3</v>
      </c>
      <c r="G83" s="4">
        <v>55000</v>
      </c>
      <c r="H83" s="4" t="str">
        <f>IF(Table2[[#This Row],[Price]]=0,"No","Yes")</f>
        <v>Yes</v>
      </c>
      <c r="I83" t="s">
        <v>43</v>
      </c>
      <c r="J83" t="s">
        <v>50</v>
      </c>
      <c r="K83">
        <v>165000</v>
      </c>
      <c r="L83">
        <v>1</v>
      </c>
      <c r="M83">
        <v>2023</v>
      </c>
    </row>
    <row r="84" spans="1:13" x14ac:dyDescent="0.35">
      <c r="A84">
        <v>100083</v>
      </c>
      <c r="B84" s="1">
        <v>44930.416666666657</v>
      </c>
      <c r="C84" t="s">
        <v>17</v>
      </c>
      <c r="D84" t="s">
        <v>37</v>
      </c>
      <c r="E84" t="s">
        <v>39</v>
      </c>
      <c r="F84">
        <v>5</v>
      </c>
      <c r="G84" s="4">
        <v>5000</v>
      </c>
      <c r="H84" s="4" t="str">
        <f>IF(Table2[[#This Row],[Price]]=0,"No","Yes")</f>
        <v>Yes</v>
      </c>
      <c r="I84" t="s">
        <v>41</v>
      </c>
      <c r="J84" t="s">
        <v>49</v>
      </c>
      <c r="K84">
        <v>25000</v>
      </c>
      <c r="L84">
        <v>1</v>
      </c>
      <c r="M84">
        <v>2023</v>
      </c>
    </row>
    <row r="85" spans="1:13" x14ac:dyDescent="0.35">
      <c r="A85">
        <v>100084</v>
      </c>
      <c r="B85" s="1">
        <v>44930.458333333343</v>
      </c>
      <c r="C85" t="s">
        <v>24</v>
      </c>
      <c r="D85" t="s">
        <v>36</v>
      </c>
      <c r="E85" t="s">
        <v>39</v>
      </c>
      <c r="F85">
        <v>2</v>
      </c>
      <c r="G85" s="4">
        <v>12000</v>
      </c>
      <c r="H85" s="4" t="str">
        <f>IF(Table2[[#This Row],[Price]]=0,"No","Yes")</f>
        <v>Yes</v>
      </c>
      <c r="I85" t="s">
        <v>41</v>
      </c>
      <c r="J85" t="s">
        <v>50</v>
      </c>
      <c r="K85">
        <v>24000</v>
      </c>
      <c r="L85">
        <v>1</v>
      </c>
      <c r="M85">
        <v>2023</v>
      </c>
    </row>
    <row r="86" spans="1:13" x14ac:dyDescent="0.35">
      <c r="A86">
        <v>100085</v>
      </c>
      <c r="B86" s="1">
        <v>44930.5</v>
      </c>
      <c r="C86" t="s">
        <v>16</v>
      </c>
      <c r="D86" t="s">
        <v>36</v>
      </c>
      <c r="E86" t="s">
        <v>40</v>
      </c>
      <c r="F86">
        <v>2</v>
      </c>
      <c r="G86" s="4">
        <v>45000</v>
      </c>
      <c r="H86" s="4" t="str">
        <f>IF(Table2[[#This Row],[Price]]=0,"No","Yes")</f>
        <v>Yes</v>
      </c>
      <c r="I86" t="s">
        <v>42</v>
      </c>
      <c r="J86" t="s">
        <v>49</v>
      </c>
      <c r="K86">
        <v>90000</v>
      </c>
      <c r="L86">
        <v>1</v>
      </c>
      <c r="M86">
        <v>2023</v>
      </c>
    </row>
    <row r="87" spans="1:13" x14ac:dyDescent="0.35">
      <c r="A87">
        <v>100086</v>
      </c>
      <c r="B87" s="1">
        <v>44930.541666666657</v>
      </c>
      <c r="C87" t="s">
        <v>19</v>
      </c>
      <c r="D87" t="s">
        <v>35</v>
      </c>
      <c r="E87" t="s">
        <v>40</v>
      </c>
      <c r="F87">
        <v>5</v>
      </c>
      <c r="G87" s="4">
        <v>45000</v>
      </c>
      <c r="H87" s="4" t="str">
        <f>IF(Table2[[#This Row],[Price]]=0,"No","Yes")</f>
        <v>Yes</v>
      </c>
      <c r="I87" t="s">
        <v>41</v>
      </c>
      <c r="J87" t="s">
        <v>46</v>
      </c>
      <c r="K87">
        <v>225000</v>
      </c>
      <c r="L87">
        <v>1</v>
      </c>
      <c r="M87">
        <v>2023</v>
      </c>
    </row>
    <row r="88" spans="1:13" x14ac:dyDescent="0.35">
      <c r="A88">
        <v>100087</v>
      </c>
      <c r="B88" s="1">
        <v>44930.583333333343</v>
      </c>
      <c r="C88" t="s">
        <v>19</v>
      </c>
      <c r="D88" t="s">
        <v>35</v>
      </c>
      <c r="E88" t="s">
        <v>39</v>
      </c>
      <c r="F88">
        <v>5</v>
      </c>
      <c r="G88" s="4">
        <v>1500</v>
      </c>
      <c r="H88" s="4" t="str">
        <f>IF(Table2[[#This Row],[Price]]=0,"No","Yes")</f>
        <v>Yes</v>
      </c>
      <c r="I88" t="s">
        <v>43</v>
      </c>
      <c r="J88" t="s">
        <v>51</v>
      </c>
      <c r="K88">
        <v>7500</v>
      </c>
      <c r="L88">
        <v>1</v>
      </c>
      <c r="M88">
        <v>2023</v>
      </c>
    </row>
    <row r="89" spans="1:13" x14ac:dyDescent="0.35">
      <c r="A89">
        <v>100088</v>
      </c>
      <c r="B89" s="1">
        <v>44930.625</v>
      </c>
      <c r="C89" t="s">
        <v>23</v>
      </c>
      <c r="D89" t="s">
        <v>33</v>
      </c>
      <c r="E89" t="s">
        <v>39</v>
      </c>
      <c r="F89">
        <v>2</v>
      </c>
      <c r="G89" s="4">
        <v>1500</v>
      </c>
      <c r="H89" s="4" t="str">
        <f>IF(Table2[[#This Row],[Price]]=0,"No","Yes")</f>
        <v>Yes</v>
      </c>
      <c r="I89" t="s">
        <v>42</v>
      </c>
      <c r="J89" t="s">
        <v>51</v>
      </c>
      <c r="K89">
        <v>3000</v>
      </c>
      <c r="L89">
        <v>1</v>
      </c>
      <c r="M89">
        <v>2023</v>
      </c>
    </row>
    <row r="90" spans="1:13" x14ac:dyDescent="0.35">
      <c r="A90">
        <v>100089</v>
      </c>
      <c r="B90" s="1">
        <v>44930.666666666657</v>
      </c>
      <c r="C90" t="s">
        <v>27</v>
      </c>
      <c r="D90" t="s">
        <v>32</v>
      </c>
      <c r="E90" t="s">
        <v>40</v>
      </c>
      <c r="F90">
        <v>5</v>
      </c>
      <c r="G90" s="4">
        <v>22000</v>
      </c>
      <c r="H90" s="4" t="str">
        <f>IF(Table2[[#This Row],[Price]]=0,"No","Yes")</f>
        <v>Yes</v>
      </c>
      <c r="I90" t="s">
        <v>43</v>
      </c>
      <c r="J90" t="s">
        <v>49</v>
      </c>
      <c r="K90">
        <v>110000</v>
      </c>
      <c r="L90">
        <v>1</v>
      </c>
      <c r="M90">
        <v>2023</v>
      </c>
    </row>
    <row r="91" spans="1:13" x14ac:dyDescent="0.35">
      <c r="A91">
        <v>100090</v>
      </c>
      <c r="B91" s="1">
        <v>44930.708333333343</v>
      </c>
      <c r="C91" t="s">
        <v>25</v>
      </c>
      <c r="D91" t="s">
        <v>35</v>
      </c>
      <c r="E91" t="s">
        <v>39</v>
      </c>
      <c r="F91">
        <v>2</v>
      </c>
      <c r="G91" s="4">
        <v>12000</v>
      </c>
      <c r="H91" s="4" t="str">
        <f>IF(Table2[[#This Row],[Price]]=0,"No","Yes")</f>
        <v>Yes</v>
      </c>
      <c r="I91" t="s">
        <v>41</v>
      </c>
      <c r="J91" t="s">
        <v>46</v>
      </c>
      <c r="K91">
        <v>24000</v>
      </c>
      <c r="L91">
        <v>1</v>
      </c>
      <c r="M91">
        <v>2023</v>
      </c>
    </row>
    <row r="92" spans="1:13" x14ac:dyDescent="0.35">
      <c r="A92">
        <v>100091</v>
      </c>
      <c r="B92" s="1">
        <v>44930.75</v>
      </c>
      <c r="C92" t="s">
        <v>12</v>
      </c>
      <c r="D92" t="s">
        <v>32</v>
      </c>
      <c r="E92" t="s">
        <v>40</v>
      </c>
      <c r="F92">
        <v>1</v>
      </c>
      <c r="G92" s="4">
        <v>35000</v>
      </c>
      <c r="H92" s="4" t="str">
        <f>IF(Table2[[#This Row],[Price]]=0,"No","Yes")</f>
        <v>Yes</v>
      </c>
      <c r="I92" t="s">
        <v>44</v>
      </c>
      <c r="J92" t="s">
        <v>50</v>
      </c>
      <c r="K92">
        <v>35000</v>
      </c>
      <c r="L92">
        <v>1</v>
      </c>
      <c r="M92">
        <v>2023</v>
      </c>
    </row>
    <row r="93" spans="1:13" x14ac:dyDescent="0.35">
      <c r="A93">
        <v>100092</v>
      </c>
      <c r="B93" s="1">
        <v>44930.791666666657</v>
      </c>
      <c r="C93" t="s">
        <v>28</v>
      </c>
      <c r="D93" t="s">
        <v>37</v>
      </c>
      <c r="E93" t="s">
        <v>39</v>
      </c>
      <c r="F93">
        <v>3</v>
      </c>
      <c r="G93" s="4">
        <v>35000</v>
      </c>
      <c r="H93" s="4" t="str">
        <f>IF(Table2[[#This Row],[Price]]=0,"No","Yes")</f>
        <v>Yes</v>
      </c>
      <c r="I93" t="s">
        <v>41</v>
      </c>
      <c r="J93" t="s">
        <v>47</v>
      </c>
      <c r="K93">
        <v>105000</v>
      </c>
      <c r="L93">
        <v>1</v>
      </c>
      <c r="M93">
        <v>2023</v>
      </c>
    </row>
    <row r="94" spans="1:13" x14ac:dyDescent="0.35">
      <c r="A94">
        <v>100093</v>
      </c>
      <c r="B94" s="1">
        <v>44930.833333333343</v>
      </c>
      <c r="C94" t="s">
        <v>12</v>
      </c>
      <c r="D94" t="s">
        <v>37</v>
      </c>
      <c r="E94" t="s">
        <v>39</v>
      </c>
      <c r="F94">
        <v>1</v>
      </c>
      <c r="G94" s="4">
        <v>1500</v>
      </c>
      <c r="H94" s="4" t="str">
        <f>IF(Table2[[#This Row],[Price]]=0,"No","Yes")</f>
        <v>Yes</v>
      </c>
      <c r="I94" t="s">
        <v>44</v>
      </c>
      <c r="J94" t="s">
        <v>49</v>
      </c>
      <c r="K94">
        <v>1500</v>
      </c>
      <c r="L94">
        <v>1</v>
      </c>
      <c r="M94">
        <v>2023</v>
      </c>
    </row>
    <row r="95" spans="1:13" x14ac:dyDescent="0.35">
      <c r="A95">
        <v>100094</v>
      </c>
      <c r="B95" s="1">
        <v>44930.875</v>
      </c>
      <c r="C95" t="s">
        <v>28</v>
      </c>
      <c r="D95" t="s">
        <v>35</v>
      </c>
      <c r="E95" t="s">
        <v>39</v>
      </c>
      <c r="F95">
        <v>2</v>
      </c>
      <c r="G95" s="4">
        <v>18000</v>
      </c>
      <c r="H95" s="4" t="str">
        <f>IF(Table2[[#This Row],[Price]]=0,"No","Yes")</f>
        <v>Yes</v>
      </c>
      <c r="I95" t="s">
        <v>41</v>
      </c>
      <c r="J95" t="s">
        <v>51</v>
      </c>
      <c r="K95">
        <v>36000</v>
      </c>
      <c r="L95">
        <v>1</v>
      </c>
      <c r="M95">
        <v>2023</v>
      </c>
    </row>
    <row r="96" spans="1:13" x14ac:dyDescent="0.35">
      <c r="A96">
        <v>100095</v>
      </c>
      <c r="B96" s="1">
        <v>44930.916666666657</v>
      </c>
      <c r="C96" t="s">
        <v>16</v>
      </c>
      <c r="D96" t="s">
        <v>34</v>
      </c>
      <c r="E96" t="s">
        <v>39</v>
      </c>
      <c r="F96">
        <v>5</v>
      </c>
      <c r="G96" s="4">
        <v>55000</v>
      </c>
      <c r="H96" s="4" t="str">
        <f>IF(Table2[[#This Row],[Price]]=0,"No","Yes")</f>
        <v>Yes</v>
      </c>
      <c r="I96" t="s">
        <v>43</v>
      </c>
      <c r="J96" t="s">
        <v>47</v>
      </c>
      <c r="K96">
        <v>275000</v>
      </c>
      <c r="L96">
        <v>1</v>
      </c>
      <c r="M96">
        <v>2023</v>
      </c>
    </row>
    <row r="97" spans="1:13" hidden="1" x14ac:dyDescent="0.35">
      <c r="A97">
        <v>100096</v>
      </c>
      <c r="B97" s="1">
        <v>44930.958333333343</v>
      </c>
      <c r="C97" t="s">
        <v>21</v>
      </c>
      <c r="D97" t="s">
        <v>32</v>
      </c>
      <c r="E97" t="s">
        <v>39</v>
      </c>
      <c r="F97">
        <v>4</v>
      </c>
      <c r="H97" s="4" t="str">
        <f>IF(Table2[[#This Row],[Price]]=0,"No","Yes")</f>
        <v>No</v>
      </c>
      <c r="I97" t="s">
        <v>44</v>
      </c>
      <c r="J97" t="s">
        <v>50</v>
      </c>
      <c r="K97">
        <v>6000</v>
      </c>
      <c r="L97">
        <v>1</v>
      </c>
      <c r="M97">
        <v>2023</v>
      </c>
    </row>
    <row r="98" spans="1:13" x14ac:dyDescent="0.35">
      <c r="A98">
        <v>100097</v>
      </c>
      <c r="B98" s="1">
        <v>44931</v>
      </c>
      <c r="C98" t="s">
        <v>20</v>
      </c>
      <c r="D98" t="s">
        <v>36</v>
      </c>
      <c r="E98" t="s">
        <v>39</v>
      </c>
      <c r="F98">
        <v>3</v>
      </c>
      <c r="G98" s="4">
        <v>22000</v>
      </c>
      <c r="H98" s="4" t="str">
        <f>IF(Table2[[#This Row],[Price]]=0,"No","Yes")</f>
        <v>Yes</v>
      </c>
      <c r="I98" t="s">
        <v>44</v>
      </c>
      <c r="J98" t="s">
        <v>49</v>
      </c>
      <c r="K98">
        <v>66000</v>
      </c>
      <c r="L98">
        <v>1</v>
      </c>
      <c r="M98">
        <v>2023</v>
      </c>
    </row>
    <row r="99" spans="1:13" x14ac:dyDescent="0.35">
      <c r="A99">
        <v>100098</v>
      </c>
      <c r="B99" s="1">
        <v>44931.041666666657</v>
      </c>
      <c r="C99" t="s">
        <v>23</v>
      </c>
      <c r="D99" t="s">
        <v>34</v>
      </c>
      <c r="E99" t="s">
        <v>39</v>
      </c>
      <c r="F99">
        <v>5</v>
      </c>
      <c r="G99" s="4">
        <v>5000</v>
      </c>
      <c r="H99" s="4" t="str">
        <f>IF(Table2[[#This Row],[Price]]=0,"No","Yes")</f>
        <v>Yes</v>
      </c>
      <c r="I99" t="s">
        <v>44</v>
      </c>
      <c r="J99" t="s">
        <v>46</v>
      </c>
      <c r="K99">
        <v>25000</v>
      </c>
      <c r="L99">
        <v>1</v>
      </c>
      <c r="M99">
        <v>2023</v>
      </c>
    </row>
    <row r="100" spans="1:13" x14ac:dyDescent="0.35">
      <c r="A100">
        <v>100099</v>
      </c>
      <c r="B100" s="1">
        <v>44931.083333333343</v>
      </c>
      <c r="C100" t="s">
        <v>26</v>
      </c>
      <c r="D100" t="s">
        <v>33</v>
      </c>
      <c r="E100" t="s">
        <v>39</v>
      </c>
      <c r="F100">
        <v>5</v>
      </c>
      <c r="G100" s="4">
        <v>45000</v>
      </c>
      <c r="H100" s="4" t="str">
        <f>IF(Table2[[#This Row],[Price]]=0,"No","Yes")</f>
        <v>Yes</v>
      </c>
      <c r="I100" t="s">
        <v>42</v>
      </c>
      <c r="J100" t="s">
        <v>48</v>
      </c>
      <c r="K100">
        <v>225000</v>
      </c>
      <c r="L100">
        <v>1</v>
      </c>
      <c r="M100">
        <v>2023</v>
      </c>
    </row>
    <row r="101" spans="1:13" x14ac:dyDescent="0.35">
      <c r="A101">
        <v>100100</v>
      </c>
      <c r="B101" s="1">
        <v>44931.125</v>
      </c>
      <c r="C101" t="s">
        <v>27</v>
      </c>
      <c r="D101" t="s">
        <v>35</v>
      </c>
      <c r="E101" t="s">
        <v>39</v>
      </c>
      <c r="F101">
        <v>2</v>
      </c>
      <c r="G101" s="4">
        <v>55000</v>
      </c>
      <c r="H101" s="4" t="str">
        <f>IF(Table2[[#This Row],[Price]]=0,"No","Yes")</f>
        <v>Yes</v>
      </c>
      <c r="I101" t="s">
        <v>42</v>
      </c>
      <c r="J101" t="s">
        <v>50</v>
      </c>
      <c r="K101">
        <v>110000</v>
      </c>
      <c r="L101">
        <v>1</v>
      </c>
      <c r="M101">
        <v>2023</v>
      </c>
    </row>
    <row r="102" spans="1:13" x14ac:dyDescent="0.35">
      <c r="A102">
        <v>100101</v>
      </c>
      <c r="B102" s="1">
        <v>44931.166666666657</v>
      </c>
      <c r="C102" t="s">
        <v>19</v>
      </c>
      <c r="D102" t="s">
        <v>35</v>
      </c>
      <c r="E102" t="s">
        <v>39</v>
      </c>
      <c r="F102">
        <v>2</v>
      </c>
      <c r="G102" s="4">
        <v>65000</v>
      </c>
      <c r="H102" s="4" t="str">
        <f>IF(Table2[[#This Row],[Price]]=0,"No","Yes")</f>
        <v>Yes</v>
      </c>
      <c r="I102" t="s">
        <v>41</v>
      </c>
      <c r="J102" t="s">
        <v>46</v>
      </c>
      <c r="K102">
        <v>130000</v>
      </c>
      <c r="L102">
        <v>1</v>
      </c>
      <c r="M102">
        <v>2023</v>
      </c>
    </row>
    <row r="103" spans="1:13" x14ac:dyDescent="0.35">
      <c r="A103">
        <v>100102</v>
      </c>
      <c r="B103" s="1">
        <v>44931.208333333343</v>
      </c>
      <c r="C103" t="s">
        <v>21</v>
      </c>
      <c r="D103" t="s">
        <v>33</v>
      </c>
      <c r="E103" t="s">
        <v>39</v>
      </c>
      <c r="F103">
        <v>3</v>
      </c>
      <c r="G103" s="4">
        <v>2500</v>
      </c>
      <c r="H103" s="4" t="str">
        <f>IF(Table2[[#This Row],[Price]]=0,"No","Yes")</f>
        <v>Yes</v>
      </c>
      <c r="I103" t="s">
        <v>42</v>
      </c>
      <c r="J103" t="s">
        <v>49</v>
      </c>
      <c r="K103">
        <v>7500</v>
      </c>
      <c r="L103">
        <v>1</v>
      </c>
      <c r="M103">
        <v>2023</v>
      </c>
    </row>
    <row r="104" spans="1:13" x14ac:dyDescent="0.35">
      <c r="A104">
        <v>100103</v>
      </c>
      <c r="B104" s="1">
        <v>44931.25</v>
      </c>
      <c r="C104" t="s">
        <v>16</v>
      </c>
      <c r="D104" t="s">
        <v>34</v>
      </c>
      <c r="E104" t="s">
        <v>39</v>
      </c>
      <c r="F104">
        <v>2</v>
      </c>
      <c r="G104" s="4">
        <v>18000</v>
      </c>
      <c r="H104" s="4" t="str">
        <f>IF(Table2[[#This Row],[Price]]=0,"No","Yes")</f>
        <v>Yes</v>
      </c>
      <c r="I104" t="s">
        <v>41</v>
      </c>
      <c r="J104" t="s">
        <v>46</v>
      </c>
      <c r="K104">
        <v>36000</v>
      </c>
      <c r="L104">
        <v>1</v>
      </c>
      <c r="M104">
        <v>2023</v>
      </c>
    </row>
    <row r="105" spans="1:13" x14ac:dyDescent="0.35">
      <c r="A105">
        <v>100104</v>
      </c>
      <c r="B105" s="1">
        <v>44931.291666666657</v>
      </c>
      <c r="C105" t="s">
        <v>19</v>
      </c>
      <c r="D105" t="s">
        <v>38</v>
      </c>
      <c r="E105" t="s">
        <v>40</v>
      </c>
      <c r="F105">
        <v>3</v>
      </c>
      <c r="G105" s="4">
        <v>12000</v>
      </c>
      <c r="H105" s="4" t="str">
        <f>IF(Table2[[#This Row],[Price]]=0,"No","Yes")</f>
        <v>Yes</v>
      </c>
      <c r="I105" t="s">
        <v>43</v>
      </c>
      <c r="J105" t="s">
        <v>49</v>
      </c>
      <c r="K105">
        <v>36000</v>
      </c>
      <c r="L105">
        <v>1</v>
      </c>
      <c r="M105">
        <v>2023</v>
      </c>
    </row>
    <row r="106" spans="1:13" x14ac:dyDescent="0.35">
      <c r="A106">
        <v>100105</v>
      </c>
      <c r="B106" s="1">
        <v>44931.333333333343</v>
      </c>
      <c r="C106" t="s">
        <v>23</v>
      </c>
      <c r="D106" t="s">
        <v>37</v>
      </c>
      <c r="E106" t="s">
        <v>40</v>
      </c>
      <c r="F106">
        <v>4</v>
      </c>
      <c r="G106" s="4">
        <v>65000</v>
      </c>
      <c r="H106" s="4" t="str">
        <f>IF(Table2[[#This Row],[Price]]=0,"No","Yes")</f>
        <v>Yes</v>
      </c>
      <c r="I106" t="s">
        <v>44</v>
      </c>
      <c r="J106" t="s">
        <v>48</v>
      </c>
      <c r="K106">
        <v>260000</v>
      </c>
      <c r="L106">
        <v>1</v>
      </c>
      <c r="M106">
        <v>2023</v>
      </c>
    </row>
    <row r="107" spans="1:13" x14ac:dyDescent="0.35">
      <c r="A107">
        <v>100106</v>
      </c>
      <c r="B107" s="1">
        <v>44931.375</v>
      </c>
      <c r="C107" t="s">
        <v>19</v>
      </c>
      <c r="D107" t="s">
        <v>36</v>
      </c>
      <c r="E107" t="s">
        <v>39</v>
      </c>
      <c r="F107">
        <v>4</v>
      </c>
      <c r="G107" s="4">
        <v>5000</v>
      </c>
      <c r="H107" s="4" t="str">
        <f>IF(Table2[[#This Row],[Price]]=0,"No","Yes")</f>
        <v>Yes</v>
      </c>
      <c r="I107" t="s">
        <v>42</v>
      </c>
      <c r="J107" t="s">
        <v>46</v>
      </c>
      <c r="K107">
        <v>20000</v>
      </c>
      <c r="L107">
        <v>1</v>
      </c>
      <c r="M107">
        <v>2023</v>
      </c>
    </row>
    <row r="108" spans="1:13" x14ac:dyDescent="0.35">
      <c r="A108">
        <v>100107</v>
      </c>
      <c r="B108" s="1">
        <v>44931.416666666657</v>
      </c>
      <c r="C108" t="s">
        <v>27</v>
      </c>
      <c r="D108" t="s">
        <v>32</v>
      </c>
      <c r="E108" t="s">
        <v>39</v>
      </c>
      <c r="F108">
        <v>4</v>
      </c>
      <c r="G108" s="4">
        <v>55000</v>
      </c>
      <c r="H108" s="4" t="str">
        <f>IF(Table2[[#This Row],[Price]]=0,"No","Yes")</f>
        <v>Yes</v>
      </c>
      <c r="I108" t="s">
        <v>44</v>
      </c>
      <c r="J108" t="s">
        <v>48</v>
      </c>
      <c r="K108">
        <v>220000</v>
      </c>
      <c r="L108">
        <v>1</v>
      </c>
      <c r="M108">
        <v>2023</v>
      </c>
    </row>
    <row r="109" spans="1:13" x14ac:dyDescent="0.35">
      <c r="A109">
        <v>100108</v>
      </c>
      <c r="B109" s="1">
        <v>44931.458333333343</v>
      </c>
      <c r="C109" t="s">
        <v>14</v>
      </c>
      <c r="D109" t="s">
        <v>34</v>
      </c>
      <c r="E109" t="s">
        <v>39</v>
      </c>
      <c r="F109">
        <v>1</v>
      </c>
      <c r="G109" s="4">
        <v>45000</v>
      </c>
      <c r="H109" s="4" t="str">
        <f>IF(Table2[[#This Row],[Price]]=0,"No","Yes")</f>
        <v>Yes</v>
      </c>
      <c r="I109" t="s">
        <v>42</v>
      </c>
      <c r="J109" t="s">
        <v>49</v>
      </c>
      <c r="K109">
        <v>45000</v>
      </c>
      <c r="L109">
        <v>1</v>
      </c>
      <c r="M109">
        <v>2023</v>
      </c>
    </row>
    <row r="110" spans="1:13" x14ac:dyDescent="0.35">
      <c r="A110">
        <v>100109</v>
      </c>
      <c r="B110" s="1">
        <v>44931.5</v>
      </c>
      <c r="C110" t="s">
        <v>30</v>
      </c>
      <c r="D110" t="s">
        <v>32</v>
      </c>
      <c r="E110" t="s">
        <v>39</v>
      </c>
      <c r="F110">
        <v>4</v>
      </c>
      <c r="G110" s="4">
        <v>2500</v>
      </c>
      <c r="H110" s="4" t="str">
        <f>IF(Table2[[#This Row],[Price]]=0,"No","Yes")</f>
        <v>Yes</v>
      </c>
      <c r="I110" t="s">
        <v>43</v>
      </c>
      <c r="J110" t="s">
        <v>49</v>
      </c>
      <c r="K110">
        <v>10000</v>
      </c>
      <c r="L110">
        <v>1</v>
      </c>
      <c r="M110">
        <v>2023</v>
      </c>
    </row>
    <row r="111" spans="1:13" x14ac:dyDescent="0.35">
      <c r="A111">
        <v>100110</v>
      </c>
      <c r="B111" s="1">
        <v>44931.541666666657</v>
      </c>
      <c r="C111" t="s">
        <v>19</v>
      </c>
      <c r="D111" t="s">
        <v>35</v>
      </c>
      <c r="E111" t="s">
        <v>40</v>
      </c>
      <c r="F111">
        <v>3</v>
      </c>
      <c r="G111" s="4">
        <v>1500</v>
      </c>
      <c r="H111" s="4" t="str">
        <f>IF(Table2[[#This Row],[Price]]=0,"No","Yes")</f>
        <v>Yes</v>
      </c>
      <c r="I111" t="s">
        <v>41</v>
      </c>
      <c r="J111" t="s">
        <v>47</v>
      </c>
      <c r="K111">
        <v>4500</v>
      </c>
      <c r="L111">
        <v>1</v>
      </c>
      <c r="M111">
        <v>2023</v>
      </c>
    </row>
    <row r="112" spans="1:13" x14ac:dyDescent="0.35">
      <c r="A112">
        <v>100111</v>
      </c>
      <c r="B112" s="1">
        <v>44931.583333333343</v>
      </c>
      <c r="C112" t="s">
        <v>23</v>
      </c>
      <c r="D112" t="s">
        <v>38</v>
      </c>
      <c r="E112" t="s">
        <v>40</v>
      </c>
      <c r="F112">
        <v>2</v>
      </c>
      <c r="G112" s="4">
        <v>1500</v>
      </c>
      <c r="H112" s="4" t="str">
        <f>IF(Table2[[#This Row],[Price]]=0,"No","Yes")</f>
        <v>Yes</v>
      </c>
      <c r="I112" t="s">
        <v>44</v>
      </c>
      <c r="J112" t="s">
        <v>45</v>
      </c>
      <c r="K112">
        <v>3000</v>
      </c>
      <c r="L112">
        <v>1</v>
      </c>
      <c r="M112">
        <v>2023</v>
      </c>
    </row>
    <row r="113" spans="1:13" x14ac:dyDescent="0.35">
      <c r="A113">
        <v>100112</v>
      </c>
      <c r="B113" s="1">
        <v>44931.625</v>
      </c>
      <c r="C113" t="s">
        <v>27</v>
      </c>
      <c r="D113" t="s">
        <v>33</v>
      </c>
      <c r="E113" t="s">
        <v>39</v>
      </c>
      <c r="F113">
        <v>4</v>
      </c>
      <c r="G113" s="4">
        <v>1500</v>
      </c>
      <c r="H113" s="4" t="str">
        <f>IF(Table2[[#This Row],[Price]]=0,"No","Yes")</f>
        <v>Yes</v>
      </c>
      <c r="I113" t="s">
        <v>44</v>
      </c>
      <c r="J113" t="s">
        <v>49</v>
      </c>
      <c r="K113">
        <v>6000</v>
      </c>
      <c r="L113">
        <v>1</v>
      </c>
      <c r="M113">
        <v>2023</v>
      </c>
    </row>
    <row r="114" spans="1:13" x14ac:dyDescent="0.35">
      <c r="A114">
        <v>100113</v>
      </c>
      <c r="B114" s="1">
        <v>44931.666666666657</v>
      </c>
      <c r="C114" t="s">
        <v>30</v>
      </c>
      <c r="D114" t="s">
        <v>38</v>
      </c>
      <c r="E114" t="s">
        <v>39</v>
      </c>
      <c r="F114">
        <v>4</v>
      </c>
      <c r="G114" s="4">
        <v>18000</v>
      </c>
      <c r="H114" s="4" t="str">
        <f>IF(Table2[[#This Row],[Price]]=0,"No","Yes")</f>
        <v>Yes</v>
      </c>
      <c r="I114" t="s">
        <v>44</v>
      </c>
      <c r="J114" t="s">
        <v>45</v>
      </c>
      <c r="K114">
        <v>72000</v>
      </c>
      <c r="L114">
        <v>1</v>
      </c>
      <c r="M114">
        <v>2023</v>
      </c>
    </row>
    <row r="115" spans="1:13" x14ac:dyDescent="0.35">
      <c r="A115">
        <v>100114</v>
      </c>
      <c r="B115" s="1">
        <v>44931.708333333343</v>
      </c>
      <c r="C115" t="s">
        <v>12</v>
      </c>
      <c r="D115" t="s">
        <v>32</v>
      </c>
      <c r="E115" t="s">
        <v>39</v>
      </c>
      <c r="F115">
        <v>3</v>
      </c>
      <c r="G115" s="4">
        <v>12000</v>
      </c>
      <c r="H115" s="4" t="str">
        <f>IF(Table2[[#This Row],[Price]]=0,"No","Yes")</f>
        <v>Yes</v>
      </c>
      <c r="I115" t="s">
        <v>41</v>
      </c>
      <c r="J115" t="s">
        <v>47</v>
      </c>
      <c r="K115">
        <v>36000</v>
      </c>
      <c r="L115">
        <v>1</v>
      </c>
      <c r="M115">
        <v>2023</v>
      </c>
    </row>
    <row r="116" spans="1:13" x14ac:dyDescent="0.35">
      <c r="A116">
        <v>100115</v>
      </c>
      <c r="B116" s="1">
        <v>44931.75</v>
      </c>
      <c r="C116" t="s">
        <v>28</v>
      </c>
      <c r="D116" t="s">
        <v>33</v>
      </c>
      <c r="E116" t="s">
        <v>39</v>
      </c>
      <c r="F116">
        <v>5</v>
      </c>
      <c r="G116" s="4">
        <v>45000</v>
      </c>
      <c r="H116" s="4" t="str">
        <f>IF(Table2[[#This Row],[Price]]=0,"No","Yes")</f>
        <v>Yes</v>
      </c>
      <c r="I116" t="s">
        <v>44</v>
      </c>
      <c r="J116" t="s">
        <v>48</v>
      </c>
      <c r="K116">
        <v>225000</v>
      </c>
      <c r="L116">
        <v>1</v>
      </c>
      <c r="M116">
        <v>2023</v>
      </c>
    </row>
    <row r="117" spans="1:13" x14ac:dyDescent="0.35">
      <c r="A117">
        <v>100116</v>
      </c>
      <c r="B117" s="1">
        <v>44931.791666666657</v>
      </c>
      <c r="C117" t="s">
        <v>14</v>
      </c>
      <c r="D117" t="s">
        <v>37</v>
      </c>
      <c r="E117" t="s">
        <v>39</v>
      </c>
      <c r="F117">
        <v>5</v>
      </c>
      <c r="G117" s="4">
        <v>65000</v>
      </c>
      <c r="H117" s="4" t="str">
        <f>IF(Table2[[#This Row],[Price]]=0,"No","Yes")</f>
        <v>Yes</v>
      </c>
      <c r="I117" t="s">
        <v>41</v>
      </c>
      <c r="J117" t="s">
        <v>49</v>
      </c>
      <c r="K117">
        <v>325000</v>
      </c>
      <c r="L117">
        <v>1</v>
      </c>
      <c r="M117">
        <v>2023</v>
      </c>
    </row>
    <row r="118" spans="1:13" x14ac:dyDescent="0.35">
      <c r="A118">
        <v>100117</v>
      </c>
      <c r="B118" s="1">
        <v>44931.833333333343</v>
      </c>
      <c r="C118" t="s">
        <v>14</v>
      </c>
      <c r="D118" t="s">
        <v>35</v>
      </c>
      <c r="E118" t="s">
        <v>40</v>
      </c>
      <c r="F118">
        <v>1</v>
      </c>
      <c r="G118" s="4">
        <v>55000</v>
      </c>
      <c r="H118" s="4" t="str">
        <f>IF(Table2[[#This Row],[Price]]=0,"No","Yes")</f>
        <v>Yes</v>
      </c>
      <c r="I118" t="s">
        <v>44</v>
      </c>
      <c r="J118" t="s">
        <v>46</v>
      </c>
      <c r="K118">
        <v>55000</v>
      </c>
      <c r="L118">
        <v>1</v>
      </c>
      <c r="M118">
        <v>2023</v>
      </c>
    </row>
    <row r="119" spans="1:13" x14ac:dyDescent="0.35">
      <c r="A119">
        <v>100118</v>
      </c>
      <c r="B119" s="1">
        <v>44931.875</v>
      </c>
      <c r="C119" t="s">
        <v>25</v>
      </c>
      <c r="D119" t="s">
        <v>33</v>
      </c>
      <c r="E119" t="s">
        <v>39</v>
      </c>
      <c r="F119">
        <v>4</v>
      </c>
      <c r="G119" s="4">
        <v>65000</v>
      </c>
      <c r="H119" s="4" t="str">
        <f>IF(Table2[[#This Row],[Price]]=0,"No","Yes")</f>
        <v>Yes</v>
      </c>
      <c r="I119" t="s">
        <v>41</v>
      </c>
      <c r="J119" t="s">
        <v>51</v>
      </c>
      <c r="K119">
        <v>260000</v>
      </c>
      <c r="L119">
        <v>1</v>
      </c>
      <c r="M119">
        <v>2023</v>
      </c>
    </row>
    <row r="120" spans="1:13" x14ac:dyDescent="0.35">
      <c r="A120">
        <v>100119</v>
      </c>
      <c r="B120" s="1">
        <v>44931.916666666657</v>
      </c>
      <c r="C120" t="s">
        <v>31</v>
      </c>
      <c r="D120" t="s">
        <v>37</v>
      </c>
      <c r="E120" t="s">
        <v>40</v>
      </c>
      <c r="F120">
        <v>3</v>
      </c>
      <c r="G120" s="4">
        <v>18000</v>
      </c>
      <c r="H120" s="4" t="str">
        <f>IF(Table2[[#This Row],[Price]]=0,"No","Yes")</f>
        <v>Yes</v>
      </c>
      <c r="I120" t="s">
        <v>43</v>
      </c>
      <c r="J120" t="s">
        <v>47</v>
      </c>
      <c r="K120">
        <v>54000</v>
      </c>
      <c r="L120">
        <v>1</v>
      </c>
      <c r="M120">
        <v>2023</v>
      </c>
    </row>
    <row r="121" spans="1:13" hidden="1" x14ac:dyDescent="0.35">
      <c r="A121">
        <v>100120</v>
      </c>
      <c r="B121" s="1">
        <v>44931.958333333343</v>
      </c>
      <c r="C121" t="s">
        <v>17</v>
      </c>
      <c r="D121" t="s">
        <v>33</v>
      </c>
      <c r="E121" t="s">
        <v>40</v>
      </c>
      <c r="F121">
        <v>3</v>
      </c>
      <c r="H121" s="4" t="str">
        <f>IF(Table2[[#This Row],[Price]]=0,"No","Yes")</f>
        <v>No</v>
      </c>
      <c r="I121" t="s">
        <v>41</v>
      </c>
      <c r="J121" t="s">
        <v>49</v>
      </c>
      <c r="K121">
        <v>15000</v>
      </c>
      <c r="L121">
        <v>1</v>
      </c>
      <c r="M121">
        <v>2023</v>
      </c>
    </row>
    <row r="122" spans="1:13" x14ac:dyDescent="0.35">
      <c r="A122">
        <v>100121</v>
      </c>
      <c r="B122" s="1">
        <v>44932</v>
      </c>
      <c r="C122" t="s">
        <v>12</v>
      </c>
      <c r="D122" t="s">
        <v>38</v>
      </c>
      <c r="E122" t="s">
        <v>39</v>
      </c>
      <c r="F122">
        <v>2</v>
      </c>
      <c r="G122" s="4">
        <v>18000</v>
      </c>
      <c r="H122" s="4" t="str">
        <f>IF(Table2[[#This Row],[Price]]=0,"No","Yes")</f>
        <v>Yes</v>
      </c>
      <c r="I122" t="s">
        <v>42</v>
      </c>
      <c r="J122" t="s">
        <v>46</v>
      </c>
      <c r="K122">
        <v>36000</v>
      </c>
      <c r="L122">
        <v>1</v>
      </c>
      <c r="M122">
        <v>2023</v>
      </c>
    </row>
    <row r="123" spans="1:13" x14ac:dyDescent="0.35">
      <c r="A123">
        <v>100122</v>
      </c>
      <c r="B123" s="1">
        <v>44932.041666666657</v>
      </c>
      <c r="C123" t="s">
        <v>24</v>
      </c>
      <c r="D123" t="s">
        <v>36</v>
      </c>
      <c r="E123" t="s">
        <v>39</v>
      </c>
      <c r="F123">
        <v>3</v>
      </c>
      <c r="G123" s="4">
        <v>55000</v>
      </c>
      <c r="H123" s="4" t="str">
        <f>IF(Table2[[#This Row],[Price]]=0,"No","Yes")</f>
        <v>Yes</v>
      </c>
      <c r="I123" t="s">
        <v>43</v>
      </c>
      <c r="J123" t="s">
        <v>48</v>
      </c>
      <c r="K123">
        <v>165000</v>
      </c>
      <c r="L123">
        <v>1</v>
      </c>
      <c r="M123">
        <v>2023</v>
      </c>
    </row>
    <row r="124" spans="1:13" x14ac:dyDescent="0.35">
      <c r="A124">
        <v>100123</v>
      </c>
      <c r="B124" s="1">
        <v>44932.083333333343</v>
      </c>
      <c r="C124" t="s">
        <v>13</v>
      </c>
      <c r="D124" t="s">
        <v>35</v>
      </c>
      <c r="E124" t="s">
        <v>40</v>
      </c>
      <c r="F124">
        <v>3</v>
      </c>
      <c r="G124" s="4">
        <v>5000</v>
      </c>
      <c r="H124" s="4" t="str">
        <f>IF(Table2[[#This Row],[Price]]=0,"No","Yes")</f>
        <v>Yes</v>
      </c>
      <c r="I124" t="s">
        <v>43</v>
      </c>
      <c r="J124" t="s">
        <v>46</v>
      </c>
      <c r="K124">
        <v>15000</v>
      </c>
      <c r="L124">
        <v>1</v>
      </c>
      <c r="M124">
        <v>2023</v>
      </c>
    </row>
    <row r="125" spans="1:13" x14ac:dyDescent="0.35">
      <c r="A125">
        <v>100124</v>
      </c>
      <c r="B125" s="1">
        <v>44932.125</v>
      </c>
      <c r="C125" t="s">
        <v>18</v>
      </c>
      <c r="D125" t="s">
        <v>34</v>
      </c>
      <c r="E125" t="s">
        <v>39</v>
      </c>
      <c r="F125">
        <v>4</v>
      </c>
      <c r="G125" s="4">
        <v>18000</v>
      </c>
      <c r="H125" s="4" t="str">
        <f>IF(Table2[[#This Row],[Price]]=0,"No","Yes")</f>
        <v>Yes</v>
      </c>
      <c r="I125" t="s">
        <v>41</v>
      </c>
      <c r="J125" t="s">
        <v>46</v>
      </c>
      <c r="K125">
        <v>72000</v>
      </c>
      <c r="L125">
        <v>1</v>
      </c>
      <c r="M125">
        <v>2023</v>
      </c>
    </row>
    <row r="126" spans="1:13" x14ac:dyDescent="0.35">
      <c r="A126">
        <v>100125</v>
      </c>
      <c r="B126" s="1">
        <v>44932.166666666657</v>
      </c>
      <c r="C126" t="s">
        <v>27</v>
      </c>
      <c r="D126" t="s">
        <v>34</v>
      </c>
      <c r="E126" t="s">
        <v>39</v>
      </c>
      <c r="F126">
        <v>3</v>
      </c>
      <c r="G126" s="4">
        <v>18000</v>
      </c>
      <c r="H126" s="4" t="str">
        <f>IF(Table2[[#This Row],[Price]]=0,"No","Yes")</f>
        <v>Yes</v>
      </c>
      <c r="I126" t="s">
        <v>43</v>
      </c>
      <c r="J126" t="s">
        <v>48</v>
      </c>
      <c r="K126">
        <v>54000</v>
      </c>
      <c r="L126">
        <v>1</v>
      </c>
      <c r="M126">
        <v>2023</v>
      </c>
    </row>
    <row r="127" spans="1:13" x14ac:dyDescent="0.35">
      <c r="A127">
        <v>100126</v>
      </c>
      <c r="B127" s="1">
        <v>44932.208333333343</v>
      </c>
      <c r="C127" t="s">
        <v>12</v>
      </c>
      <c r="D127" t="s">
        <v>34</v>
      </c>
      <c r="E127" t="s">
        <v>40</v>
      </c>
      <c r="F127">
        <v>1</v>
      </c>
      <c r="G127" s="4">
        <v>1500</v>
      </c>
      <c r="H127" s="4" t="str">
        <f>IF(Table2[[#This Row],[Price]]=0,"No","Yes")</f>
        <v>Yes</v>
      </c>
      <c r="I127" t="s">
        <v>41</v>
      </c>
      <c r="J127" t="s">
        <v>45</v>
      </c>
      <c r="K127">
        <v>1500</v>
      </c>
      <c r="L127">
        <v>1</v>
      </c>
      <c r="M127">
        <v>2023</v>
      </c>
    </row>
    <row r="128" spans="1:13" x14ac:dyDescent="0.35">
      <c r="A128">
        <v>100127</v>
      </c>
      <c r="B128" s="1">
        <v>44932.25</v>
      </c>
      <c r="C128" t="s">
        <v>31</v>
      </c>
      <c r="D128" t="s">
        <v>36</v>
      </c>
      <c r="E128" t="s">
        <v>39</v>
      </c>
      <c r="F128">
        <v>5</v>
      </c>
      <c r="G128" s="4">
        <v>65000</v>
      </c>
      <c r="H128" s="4" t="str">
        <f>IF(Table2[[#This Row],[Price]]=0,"No","Yes")</f>
        <v>Yes</v>
      </c>
      <c r="I128" t="s">
        <v>42</v>
      </c>
      <c r="J128" t="s">
        <v>45</v>
      </c>
      <c r="K128">
        <v>325000</v>
      </c>
      <c r="L128">
        <v>1</v>
      </c>
      <c r="M128">
        <v>2023</v>
      </c>
    </row>
    <row r="129" spans="1:13" x14ac:dyDescent="0.35">
      <c r="A129">
        <v>100128</v>
      </c>
      <c r="B129" s="1">
        <v>44932.291666666657</v>
      </c>
      <c r="C129" t="s">
        <v>14</v>
      </c>
      <c r="D129" t="s">
        <v>35</v>
      </c>
      <c r="E129" t="s">
        <v>39</v>
      </c>
      <c r="F129">
        <v>4</v>
      </c>
      <c r="G129" s="4">
        <v>55000</v>
      </c>
      <c r="H129" s="4" t="str">
        <f>IF(Table2[[#This Row],[Price]]=0,"No","Yes")</f>
        <v>Yes</v>
      </c>
      <c r="I129" t="s">
        <v>41</v>
      </c>
      <c r="J129" t="s">
        <v>47</v>
      </c>
      <c r="K129">
        <v>220000</v>
      </c>
      <c r="L129">
        <v>1</v>
      </c>
      <c r="M129">
        <v>2023</v>
      </c>
    </row>
    <row r="130" spans="1:13" x14ac:dyDescent="0.35">
      <c r="A130">
        <v>100129</v>
      </c>
      <c r="B130" s="1">
        <v>44932.333333333343</v>
      </c>
      <c r="C130" t="s">
        <v>15</v>
      </c>
      <c r="D130" t="s">
        <v>33</v>
      </c>
      <c r="E130" t="s">
        <v>39</v>
      </c>
      <c r="F130">
        <v>5</v>
      </c>
      <c r="G130" s="4">
        <v>12000</v>
      </c>
      <c r="H130" s="4" t="str">
        <f>IF(Table2[[#This Row],[Price]]=0,"No","Yes")</f>
        <v>Yes</v>
      </c>
      <c r="I130" t="s">
        <v>44</v>
      </c>
      <c r="J130" t="s">
        <v>51</v>
      </c>
      <c r="K130">
        <v>60000</v>
      </c>
      <c r="L130">
        <v>1</v>
      </c>
      <c r="M130">
        <v>2023</v>
      </c>
    </row>
    <row r="131" spans="1:13" x14ac:dyDescent="0.35">
      <c r="A131">
        <v>100130</v>
      </c>
      <c r="B131" s="1">
        <v>44932.375</v>
      </c>
      <c r="C131" t="s">
        <v>18</v>
      </c>
      <c r="D131" t="s">
        <v>32</v>
      </c>
      <c r="E131" t="s">
        <v>40</v>
      </c>
      <c r="F131">
        <v>4</v>
      </c>
      <c r="G131" s="4">
        <v>18000</v>
      </c>
      <c r="H131" s="4" t="str">
        <f>IF(Table2[[#This Row],[Price]]=0,"No","Yes")</f>
        <v>Yes</v>
      </c>
      <c r="I131" t="s">
        <v>43</v>
      </c>
      <c r="J131" t="s">
        <v>46</v>
      </c>
      <c r="K131">
        <v>72000</v>
      </c>
      <c r="L131">
        <v>1</v>
      </c>
      <c r="M131">
        <v>2023</v>
      </c>
    </row>
    <row r="132" spans="1:13" x14ac:dyDescent="0.35">
      <c r="A132">
        <v>100131</v>
      </c>
      <c r="B132" s="1">
        <v>44932.416666666657</v>
      </c>
      <c r="C132" t="s">
        <v>31</v>
      </c>
      <c r="D132" t="s">
        <v>32</v>
      </c>
      <c r="E132" t="s">
        <v>40</v>
      </c>
      <c r="F132">
        <v>5</v>
      </c>
      <c r="G132" s="4">
        <v>65000</v>
      </c>
      <c r="H132" s="4" t="str">
        <f>IF(Table2[[#This Row],[Price]]=0,"No","Yes")</f>
        <v>Yes</v>
      </c>
      <c r="I132" t="s">
        <v>44</v>
      </c>
      <c r="J132" t="s">
        <v>50</v>
      </c>
      <c r="K132">
        <v>325000</v>
      </c>
      <c r="L132">
        <v>1</v>
      </c>
      <c r="M132">
        <v>2023</v>
      </c>
    </row>
    <row r="133" spans="1:13" x14ac:dyDescent="0.35">
      <c r="A133">
        <v>100132</v>
      </c>
      <c r="B133" s="1">
        <v>44932.458333333343</v>
      </c>
      <c r="C133" t="s">
        <v>12</v>
      </c>
      <c r="D133" t="s">
        <v>35</v>
      </c>
      <c r="E133" t="s">
        <v>39</v>
      </c>
      <c r="F133">
        <v>1</v>
      </c>
      <c r="G133" s="4">
        <v>2500</v>
      </c>
      <c r="H133" s="4" t="str">
        <f>IF(Table2[[#This Row],[Price]]=0,"No","Yes")</f>
        <v>Yes</v>
      </c>
      <c r="I133" t="s">
        <v>43</v>
      </c>
      <c r="J133" t="s">
        <v>45</v>
      </c>
      <c r="K133">
        <v>2500</v>
      </c>
      <c r="L133">
        <v>1</v>
      </c>
      <c r="M133">
        <v>2023</v>
      </c>
    </row>
    <row r="134" spans="1:13" x14ac:dyDescent="0.35">
      <c r="A134">
        <v>100133</v>
      </c>
      <c r="B134" s="1">
        <v>44932.5</v>
      </c>
      <c r="C134" t="s">
        <v>17</v>
      </c>
      <c r="D134" t="s">
        <v>36</v>
      </c>
      <c r="E134" t="s">
        <v>39</v>
      </c>
      <c r="F134">
        <v>5</v>
      </c>
      <c r="G134" s="4">
        <v>2500</v>
      </c>
      <c r="H134" s="4" t="str">
        <f>IF(Table2[[#This Row],[Price]]=0,"No","Yes")</f>
        <v>Yes</v>
      </c>
      <c r="I134" t="s">
        <v>43</v>
      </c>
      <c r="J134" t="s">
        <v>50</v>
      </c>
      <c r="K134">
        <v>12500</v>
      </c>
      <c r="L134">
        <v>1</v>
      </c>
      <c r="M134">
        <v>2023</v>
      </c>
    </row>
    <row r="135" spans="1:13" x14ac:dyDescent="0.35">
      <c r="A135">
        <v>100134</v>
      </c>
      <c r="B135" s="1">
        <v>44932.541666666657</v>
      </c>
      <c r="C135" t="s">
        <v>20</v>
      </c>
      <c r="D135" t="s">
        <v>35</v>
      </c>
      <c r="E135" t="s">
        <v>39</v>
      </c>
      <c r="F135">
        <v>5</v>
      </c>
      <c r="G135" s="4">
        <v>55000</v>
      </c>
      <c r="H135" s="4" t="str">
        <f>IF(Table2[[#This Row],[Price]]=0,"No","Yes")</f>
        <v>Yes</v>
      </c>
      <c r="I135" t="s">
        <v>41</v>
      </c>
      <c r="J135" t="s">
        <v>50</v>
      </c>
      <c r="K135">
        <v>275000</v>
      </c>
      <c r="L135">
        <v>1</v>
      </c>
      <c r="M135">
        <v>2023</v>
      </c>
    </row>
    <row r="136" spans="1:13" x14ac:dyDescent="0.35">
      <c r="A136">
        <v>100135</v>
      </c>
      <c r="B136" s="1">
        <v>44932.583333333343</v>
      </c>
      <c r="C136" t="s">
        <v>25</v>
      </c>
      <c r="D136" t="s">
        <v>32</v>
      </c>
      <c r="E136" t="s">
        <v>40</v>
      </c>
      <c r="F136">
        <v>3</v>
      </c>
      <c r="G136" s="4">
        <v>1500</v>
      </c>
      <c r="H136" s="4" t="str">
        <f>IF(Table2[[#This Row],[Price]]=0,"No","Yes")</f>
        <v>Yes</v>
      </c>
      <c r="I136" t="s">
        <v>43</v>
      </c>
      <c r="J136" t="s">
        <v>47</v>
      </c>
      <c r="K136">
        <v>4500</v>
      </c>
      <c r="L136">
        <v>1</v>
      </c>
      <c r="M136">
        <v>2023</v>
      </c>
    </row>
    <row r="137" spans="1:13" x14ac:dyDescent="0.35">
      <c r="A137">
        <v>100136</v>
      </c>
      <c r="B137" s="1">
        <v>44932.625</v>
      </c>
      <c r="C137" t="s">
        <v>31</v>
      </c>
      <c r="D137" t="s">
        <v>35</v>
      </c>
      <c r="E137" t="s">
        <v>40</v>
      </c>
      <c r="F137">
        <v>2</v>
      </c>
      <c r="G137" s="4">
        <v>65000</v>
      </c>
      <c r="H137" s="4" t="str">
        <f>IF(Table2[[#This Row],[Price]]=0,"No","Yes")</f>
        <v>Yes</v>
      </c>
      <c r="I137" t="s">
        <v>41</v>
      </c>
      <c r="J137" t="s">
        <v>51</v>
      </c>
      <c r="K137">
        <v>130000</v>
      </c>
      <c r="L137">
        <v>1</v>
      </c>
      <c r="M137">
        <v>2023</v>
      </c>
    </row>
    <row r="138" spans="1:13" x14ac:dyDescent="0.35">
      <c r="A138">
        <v>100137</v>
      </c>
      <c r="B138" s="1">
        <v>44932.666666666657</v>
      </c>
      <c r="C138" t="s">
        <v>22</v>
      </c>
      <c r="D138" t="s">
        <v>34</v>
      </c>
      <c r="E138" t="s">
        <v>39</v>
      </c>
      <c r="F138">
        <v>2</v>
      </c>
      <c r="G138" s="4">
        <v>2500</v>
      </c>
      <c r="H138" s="4" t="str">
        <f>IF(Table2[[#This Row],[Price]]=0,"No","Yes")</f>
        <v>Yes</v>
      </c>
      <c r="I138" t="s">
        <v>44</v>
      </c>
      <c r="J138" t="s">
        <v>48</v>
      </c>
      <c r="K138">
        <v>5000</v>
      </c>
      <c r="L138">
        <v>1</v>
      </c>
      <c r="M138">
        <v>2023</v>
      </c>
    </row>
    <row r="139" spans="1:13" x14ac:dyDescent="0.35">
      <c r="A139">
        <v>100138</v>
      </c>
      <c r="B139" s="1">
        <v>44932.708333333343</v>
      </c>
      <c r="C139" t="s">
        <v>21</v>
      </c>
      <c r="D139" t="s">
        <v>37</v>
      </c>
      <c r="E139" t="s">
        <v>40</v>
      </c>
      <c r="F139">
        <v>1</v>
      </c>
      <c r="G139" s="4">
        <v>2500</v>
      </c>
      <c r="H139" s="4" t="str">
        <f>IF(Table2[[#This Row],[Price]]=0,"No","Yes")</f>
        <v>Yes</v>
      </c>
      <c r="I139" t="s">
        <v>41</v>
      </c>
      <c r="J139" t="s">
        <v>45</v>
      </c>
      <c r="K139">
        <v>2500</v>
      </c>
      <c r="L139">
        <v>1</v>
      </c>
      <c r="M139">
        <v>2023</v>
      </c>
    </row>
    <row r="140" spans="1:13" x14ac:dyDescent="0.35">
      <c r="A140">
        <v>100139</v>
      </c>
      <c r="B140" s="1">
        <v>44932.75</v>
      </c>
      <c r="C140" t="s">
        <v>21</v>
      </c>
      <c r="D140" t="s">
        <v>33</v>
      </c>
      <c r="E140" t="s">
        <v>40</v>
      </c>
      <c r="F140">
        <v>2</v>
      </c>
      <c r="G140" s="4">
        <v>45000</v>
      </c>
      <c r="H140" s="4" t="str">
        <f>IF(Table2[[#This Row],[Price]]=0,"No","Yes")</f>
        <v>Yes</v>
      </c>
      <c r="I140" t="s">
        <v>43</v>
      </c>
      <c r="J140" t="s">
        <v>50</v>
      </c>
      <c r="K140">
        <v>90000</v>
      </c>
      <c r="L140">
        <v>1</v>
      </c>
      <c r="M140">
        <v>2023</v>
      </c>
    </row>
    <row r="141" spans="1:13" x14ac:dyDescent="0.35">
      <c r="A141">
        <v>100140</v>
      </c>
      <c r="B141" s="1">
        <v>44932.791666666657</v>
      </c>
      <c r="C141" t="s">
        <v>13</v>
      </c>
      <c r="D141" t="s">
        <v>35</v>
      </c>
      <c r="E141" t="s">
        <v>39</v>
      </c>
      <c r="F141">
        <v>1</v>
      </c>
      <c r="G141" s="4">
        <v>45000</v>
      </c>
      <c r="H141" s="4" t="str">
        <f>IF(Table2[[#This Row],[Price]]=0,"No","Yes")</f>
        <v>Yes</v>
      </c>
      <c r="I141" t="s">
        <v>43</v>
      </c>
      <c r="J141" t="s">
        <v>50</v>
      </c>
      <c r="K141">
        <v>45000</v>
      </c>
      <c r="L141">
        <v>1</v>
      </c>
      <c r="M141">
        <v>2023</v>
      </c>
    </row>
    <row r="142" spans="1:13" x14ac:dyDescent="0.35">
      <c r="A142">
        <v>100141</v>
      </c>
      <c r="B142" s="1">
        <v>44932.833333333343</v>
      </c>
      <c r="C142" t="s">
        <v>15</v>
      </c>
      <c r="D142" t="s">
        <v>33</v>
      </c>
      <c r="E142" t="s">
        <v>40</v>
      </c>
      <c r="F142">
        <v>1</v>
      </c>
      <c r="G142" s="4">
        <v>55000</v>
      </c>
      <c r="H142" s="4" t="str">
        <f>IF(Table2[[#This Row],[Price]]=0,"No","Yes")</f>
        <v>Yes</v>
      </c>
      <c r="I142" t="s">
        <v>41</v>
      </c>
      <c r="J142" t="s">
        <v>48</v>
      </c>
      <c r="K142">
        <v>55000</v>
      </c>
      <c r="L142">
        <v>1</v>
      </c>
      <c r="M142">
        <v>2023</v>
      </c>
    </row>
    <row r="143" spans="1:13" hidden="1" x14ac:dyDescent="0.35">
      <c r="A143">
        <v>100142</v>
      </c>
      <c r="B143" s="1">
        <v>44932.875</v>
      </c>
      <c r="C143" t="s">
        <v>12</v>
      </c>
      <c r="D143" t="s">
        <v>38</v>
      </c>
      <c r="E143" t="s">
        <v>39</v>
      </c>
      <c r="F143">
        <v>2</v>
      </c>
      <c r="H143" s="4" t="str">
        <f>IF(Table2[[#This Row],[Price]]=0,"No","Yes")</f>
        <v>No</v>
      </c>
      <c r="I143" t="s">
        <v>43</v>
      </c>
      <c r="J143" t="s">
        <v>47</v>
      </c>
      <c r="K143">
        <v>44000</v>
      </c>
      <c r="L143">
        <v>1</v>
      </c>
      <c r="M143">
        <v>2023</v>
      </c>
    </row>
    <row r="144" spans="1:13" x14ac:dyDescent="0.35">
      <c r="A144">
        <v>100143</v>
      </c>
      <c r="B144" s="1">
        <v>44932.916666666657</v>
      </c>
      <c r="C144" t="s">
        <v>23</v>
      </c>
      <c r="D144" t="s">
        <v>35</v>
      </c>
      <c r="E144" t="s">
        <v>40</v>
      </c>
      <c r="F144">
        <v>5</v>
      </c>
      <c r="G144" s="4">
        <v>1500</v>
      </c>
      <c r="H144" s="4" t="str">
        <f>IF(Table2[[#This Row],[Price]]=0,"No","Yes")</f>
        <v>Yes</v>
      </c>
      <c r="I144" t="s">
        <v>44</v>
      </c>
      <c r="J144" t="s">
        <v>45</v>
      </c>
      <c r="K144">
        <v>7500</v>
      </c>
      <c r="L144">
        <v>1</v>
      </c>
      <c r="M144">
        <v>2023</v>
      </c>
    </row>
    <row r="145" spans="1:13" x14ac:dyDescent="0.35">
      <c r="A145">
        <v>100144</v>
      </c>
      <c r="B145" s="1">
        <v>44932.958333333343</v>
      </c>
      <c r="C145" t="s">
        <v>23</v>
      </c>
      <c r="D145" t="s">
        <v>32</v>
      </c>
      <c r="E145" t="s">
        <v>39</v>
      </c>
      <c r="F145">
        <v>5</v>
      </c>
      <c r="G145" s="4">
        <v>18000</v>
      </c>
      <c r="H145" s="4" t="str">
        <f>IF(Table2[[#This Row],[Price]]=0,"No","Yes")</f>
        <v>Yes</v>
      </c>
      <c r="I145" t="s">
        <v>42</v>
      </c>
      <c r="J145" t="s">
        <v>49</v>
      </c>
      <c r="K145">
        <v>90000</v>
      </c>
      <c r="L145">
        <v>1</v>
      </c>
      <c r="M145">
        <v>2023</v>
      </c>
    </row>
    <row r="146" spans="1:13" x14ac:dyDescent="0.35">
      <c r="A146">
        <v>100145</v>
      </c>
      <c r="B146" s="1">
        <v>44933</v>
      </c>
      <c r="C146" t="s">
        <v>13</v>
      </c>
      <c r="D146" t="s">
        <v>37</v>
      </c>
      <c r="E146" t="s">
        <v>39</v>
      </c>
      <c r="F146">
        <v>5</v>
      </c>
      <c r="G146" s="4">
        <v>65000</v>
      </c>
      <c r="H146" s="4" t="str">
        <f>IF(Table2[[#This Row],[Price]]=0,"No","Yes")</f>
        <v>Yes</v>
      </c>
      <c r="I146" t="s">
        <v>41</v>
      </c>
      <c r="J146" t="s">
        <v>49</v>
      </c>
      <c r="K146">
        <v>325000</v>
      </c>
      <c r="L146">
        <v>1</v>
      </c>
      <c r="M146">
        <v>2023</v>
      </c>
    </row>
    <row r="147" spans="1:13" x14ac:dyDescent="0.35">
      <c r="A147">
        <v>100146</v>
      </c>
      <c r="B147" s="1">
        <v>44933.041666666657</v>
      </c>
      <c r="C147" t="s">
        <v>31</v>
      </c>
      <c r="D147" t="s">
        <v>32</v>
      </c>
      <c r="E147" t="s">
        <v>40</v>
      </c>
      <c r="F147">
        <v>5</v>
      </c>
      <c r="G147" s="4">
        <v>22000</v>
      </c>
      <c r="H147" s="4" t="str">
        <f>IF(Table2[[#This Row],[Price]]=0,"No","Yes")</f>
        <v>Yes</v>
      </c>
      <c r="I147" t="s">
        <v>41</v>
      </c>
      <c r="J147" t="s">
        <v>51</v>
      </c>
      <c r="K147">
        <v>110000</v>
      </c>
      <c r="L147">
        <v>1</v>
      </c>
      <c r="M147">
        <v>2023</v>
      </c>
    </row>
    <row r="148" spans="1:13" x14ac:dyDescent="0.35">
      <c r="A148">
        <v>100147</v>
      </c>
      <c r="B148" s="1">
        <v>44933.083333333343</v>
      </c>
      <c r="C148" t="s">
        <v>28</v>
      </c>
      <c r="D148" t="s">
        <v>37</v>
      </c>
      <c r="E148" t="s">
        <v>39</v>
      </c>
      <c r="F148">
        <v>2</v>
      </c>
      <c r="G148" s="4">
        <v>55000</v>
      </c>
      <c r="H148" s="4" t="str">
        <f>IF(Table2[[#This Row],[Price]]=0,"No","Yes")</f>
        <v>Yes</v>
      </c>
      <c r="I148" t="s">
        <v>44</v>
      </c>
      <c r="J148" t="s">
        <v>51</v>
      </c>
      <c r="K148">
        <v>110000</v>
      </c>
      <c r="L148">
        <v>1</v>
      </c>
      <c r="M148">
        <v>2023</v>
      </c>
    </row>
    <row r="149" spans="1:13" x14ac:dyDescent="0.35">
      <c r="A149">
        <v>100148</v>
      </c>
      <c r="B149" s="1">
        <v>44933.125</v>
      </c>
      <c r="C149" t="s">
        <v>19</v>
      </c>
      <c r="D149" t="s">
        <v>33</v>
      </c>
      <c r="E149" t="s">
        <v>40</v>
      </c>
      <c r="F149">
        <v>1</v>
      </c>
      <c r="G149" s="4">
        <v>1500</v>
      </c>
      <c r="H149" s="4" t="str">
        <f>IF(Table2[[#This Row],[Price]]=0,"No","Yes")</f>
        <v>Yes</v>
      </c>
      <c r="I149" t="s">
        <v>42</v>
      </c>
      <c r="J149" t="s">
        <v>46</v>
      </c>
      <c r="K149">
        <v>1500</v>
      </c>
      <c r="L149">
        <v>1</v>
      </c>
      <c r="M149">
        <v>2023</v>
      </c>
    </row>
    <row r="150" spans="1:13" x14ac:dyDescent="0.35">
      <c r="A150">
        <v>100149</v>
      </c>
      <c r="B150" s="1">
        <v>44933.166666666657</v>
      </c>
      <c r="C150" t="s">
        <v>12</v>
      </c>
      <c r="D150" t="s">
        <v>32</v>
      </c>
      <c r="E150" t="s">
        <v>39</v>
      </c>
      <c r="F150">
        <v>4</v>
      </c>
      <c r="G150" s="4">
        <v>12000</v>
      </c>
      <c r="H150" s="4" t="str">
        <f>IF(Table2[[#This Row],[Price]]=0,"No","Yes")</f>
        <v>Yes</v>
      </c>
      <c r="I150" t="s">
        <v>43</v>
      </c>
      <c r="J150" t="s">
        <v>45</v>
      </c>
      <c r="K150">
        <v>48000</v>
      </c>
      <c r="L150">
        <v>1</v>
      </c>
      <c r="M150">
        <v>2023</v>
      </c>
    </row>
    <row r="151" spans="1:13" x14ac:dyDescent="0.35">
      <c r="A151">
        <v>100150</v>
      </c>
      <c r="B151" s="1">
        <v>44933.208333333343</v>
      </c>
      <c r="C151" t="s">
        <v>22</v>
      </c>
      <c r="D151" t="s">
        <v>34</v>
      </c>
      <c r="E151" t="s">
        <v>39</v>
      </c>
      <c r="F151">
        <v>1</v>
      </c>
      <c r="G151" s="4">
        <v>5000</v>
      </c>
      <c r="H151" s="4" t="str">
        <f>IF(Table2[[#This Row],[Price]]=0,"No","Yes")</f>
        <v>Yes</v>
      </c>
      <c r="I151" t="s">
        <v>42</v>
      </c>
      <c r="J151" t="s">
        <v>50</v>
      </c>
      <c r="K151">
        <v>5000</v>
      </c>
      <c r="L151">
        <v>1</v>
      </c>
      <c r="M151">
        <v>2023</v>
      </c>
    </row>
    <row r="152" spans="1:13" x14ac:dyDescent="0.35">
      <c r="A152">
        <v>100151</v>
      </c>
      <c r="B152" s="1">
        <v>44933.25</v>
      </c>
      <c r="C152" t="s">
        <v>16</v>
      </c>
      <c r="D152" t="s">
        <v>32</v>
      </c>
      <c r="E152" t="s">
        <v>39</v>
      </c>
      <c r="F152">
        <v>1</v>
      </c>
      <c r="G152" s="4">
        <v>22000</v>
      </c>
      <c r="H152" s="4" t="str">
        <f>IF(Table2[[#This Row],[Price]]=0,"No","Yes")</f>
        <v>Yes</v>
      </c>
      <c r="I152" t="s">
        <v>41</v>
      </c>
      <c r="J152" t="s">
        <v>45</v>
      </c>
      <c r="K152">
        <v>22000</v>
      </c>
      <c r="L152">
        <v>1</v>
      </c>
      <c r="M152">
        <v>2023</v>
      </c>
    </row>
    <row r="153" spans="1:13" x14ac:dyDescent="0.35">
      <c r="A153">
        <v>100152</v>
      </c>
      <c r="B153" s="1">
        <v>44933.291666666657</v>
      </c>
      <c r="C153" t="s">
        <v>28</v>
      </c>
      <c r="D153" t="s">
        <v>38</v>
      </c>
      <c r="E153" t="s">
        <v>39</v>
      </c>
      <c r="F153">
        <v>4</v>
      </c>
      <c r="G153" s="4">
        <v>2500</v>
      </c>
      <c r="H153" s="4" t="str">
        <f>IF(Table2[[#This Row],[Price]]=0,"No","Yes")</f>
        <v>Yes</v>
      </c>
      <c r="I153" t="s">
        <v>44</v>
      </c>
      <c r="J153" t="s">
        <v>50</v>
      </c>
      <c r="K153">
        <v>10000</v>
      </c>
      <c r="L153">
        <v>1</v>
      </c>
      <c r="M153">
        <v>2023</v>
      </c>
    </row>
    <row r="154" spans="1:13" x14ac:dyDescent="0.35">
      <c r="A154">
        <v>100153</v>
      </c>
      <c r="B154" s="1">
        <v>44933.333333333343</v>
      </c>
      <c r="C154" t="s">
        <v>27</v>
      </c>
      <c r="D154" t="s">
        <v>35</v>
      </c>
      <c r="E154" t="s">
        <v>39</v>
      </c>
      <c r="F154">
        <v>3</v>
      </c>
      <c r="G154" s="4">
        <v>55000</v>
      </c>
      <c r="H154" s="4" t="str">
        <f>IF(Table2[[#This Row],[Price]]=0,"No","Yes")</f>
        <v>Yes</v>
      </c>
      <c r="I154" t="s">
        <v>42</v>
      </c>
      <c r="J154" t="s">
        <v>51</v>
      </c>
      <c r="K154">
        <v>165000</v>
      </c>
      <c r="L154">
        <v>1</v>
      </c>
      <c r="M154">
        <v>2023</v>
      </c>
    </row>
    <row r="155" spans="1:13" x14ac:dyDescent="0.35">
      <c r="A155">
        <v>100154</v>
      </c>
      <c r="B155" s="1">
        <v>44933.375</v>
      </c>
      <c r="C155" t="s">
        <v>23</v>
      </c>
      <c r="D155" t="s">
        <v>36</v>
      </c>
      <c r="E155" t="s">
        <v>39</v>
      </c>
      <c r="F155">
        <v>3</v>
      </c>
      <c r="G155" s="4">
        <v>5000</v>
      </c>
      <c r="H155" s="4" t="str">
        <f>IF(Table2[[#This Row],[Price]]=0,"No","Yes")</f>
        <v>Yes</v>
      </c>
      <c r="I155" t="s">
        <v>42</v>
      </c>
      <c r="J155" t="s">
        <v>47</v>
      </c>
      <c r="K155">
        <v>15000</v>
      </c>
      <c r="L155">
        <v>1</v>
      </c>
      <c r="M155">
        <v>2023</v>
      </c>
    </row>
    <row r="156" spans="1:13" x14ac:dyDescent="0.35">
      <c r="A156">
        <v>100155</v>
      </c>
      <c r="B156" s="1">
        <v>44933.416666666657</v>
      </c>
      <c r="C156" t="s">
        <v>17</v>
      </c>
      <c r="D156" t="s">
        <v>32</v>
      </c>
      <c r="E156" t="s">
        <v>39</v>
      </c>
      <c r="F156">
        <v>5</v>
      </c>
      <c r="G156" s="4">
        <v>2500</v>
      </c>
      <c r="H156" s="4" t="str">
        <f>IF(Table2[[#This Row],[Price]]=0,"No","Yes")</f>
        <v>Yes</v>
      </c>
      <c r="I156" t="s">
        <v>43</v>
      </c>
      <c r="J156" t="s">
        <v>45</v>
      </c>
      <c r="K156">
        <v>12500</v>
      </c>
      <c r="L156">
        <v>1</v>
      </c>
      <c r="M156">
        <v>2023</v>
      </c>
    </row>
    <row r="157" spans="1:13" x14ac:dyDescent="0.35">
      <c r="A157">
        <v>100156</v>
      </c>
      <c r="B157" s="1">
        <v>44933.458333333343</v>
      </c>
      <c r="C157" t="s">
        <v>25</v>
      </c>
      <c r="D157" t="s">
        <v>35</v>
      </c>
      <c r="E157" t="s">
        <v>39</v>
      </c>
      <c r="F157">
        <v>2</v>
      </c>
      <c r="G157" s="4">
        <v>18000</v>
      </c>
      <c r="H157" s="4" t="str">
        <f>IF(Table2[[#This Row],[Price]]=0,"No","Yes")</f>
        <v>Yes</v>
      </c>
      <c r="I157" t="s">
        <v>41</v>
      </c>
      <c r="J157" t="s">
        <v>48</v>
      </c>
      <c r="K157">
        <v>36000</v>
      </c>
      <c r="L157">
        <v>1</v>
      </c>
      <c r="M157">
        <v>2023</v>
      </c>
    </row>
    <row r="158" spans="1:13" x14ac:dyDescent="0.35">
      <c r="A158">
        <v>100157</v>
      </c>
      <c r="B158" s="1">
        <v>44933.5</v>
      </c>
      <c r="C158" t="s">
        <v>21</v>
      </c>
      <c r="D158" t="s">
        <v>34</v>
      </c>
      <c r="E158" t="s">
        <v>39</v>
      </c>
      <c r="F158">
        <v>3</v>
      </c>
      <c r="G158" s="4">
        <v>55000</v>
      </c>
      <c r="H158" s="4" t="str">
        <f>IF(Table2[[#This Row],[Price]]=0,"No","Yes")</f>
        <v>Yes</v>
      </c>
      <c r="I158" t="s">
        <v>44</v>
      </c>
      <c r="J158" t="s">
        <v>49</v>
      </c>
      <c r="K158">
        <v>165000</v>
      </c>
      <c r="L158">
        <v>1</v>
      </c>
      <c r="M158">
        <v>2023</v>
      </c>
    </row>
    <row r="159" spans="1:13" hidden="1" x14ac:dyDescent="0.35">
      <c r="A159">
        <v>100158</v>
      </c>
      <c r="B159" s="1">
        <v>44933.541666666657</v>
      </c>
      <c r="C159" t="s">
        <v>14</v>
      </c>
      <c r="D159" t="s">
        <v>35</v>
      </c>
      <c r="E159" t="s">
        <v>39</v>
      </c>
      <c r="F159">
        <v>4</v>
      </c>
      <c r="H159" s="4" t="str">
        <f>IF(Table2[[#This Row],[Price]]=0,"No","Yes")</f>
        <v>No</v>
      </c>
      <c r="I159" t="s">
        <v>44</v>
      </c>
      <c r="J159" t="s">
        <v>48</v>
      </c>
      <c r="K159">
        <v>88000</v>
      </c>
      <c r="L159">
        <v>1</v>
      </c>
      <c r="M159">
        <v>2023</v>
      </c>
    </row>
    <row r="160" spans="1:13" x14ac:dyDescent="0.35">
      <c r="A160">
        <v>100159</v>
      </c>
      <c r="B160" s="1">
        <v>44933.583333333343</v>
      </c>
      <c r="C160" t="s">
        <v>28</v>
      </c>
      <c r="D160" t="s">
        <v>32</v>
      </c>
      <c r="E160" t="s">
        <v>39</v>
      </c>
      <c r="F160">
        <v>3</v>
      </c>
      <c r="G160" s="4">
        <v>22000</v>
      </c>
      <c r="H160" s="4" t="str">
        <f>IF(Table2[[#This Row],[Price]]=0,"No","Yes")</f>
        <v>Yes</v>
      </c>
      <c r="I160" t="s">
        <v>43</v>
      </c>
      <c r="J160" t="s">
        <v>50</v>
      </c>
      <c r="K160">
        <v>66000</v>
      </c>
      <c r="L160">
        <v>1</v>
      </c>
      <c r="M160">
        <v>2023</v>
      </c>
    </row>
    <row r="161" spans="1:13" x14ac:dyDescent="0.35">
      <c r="A161">
        <v>100160</v>
      </c>
      <c r="B161" s="1">
        <v>44933.625</v>
      </c>
      <c r="C161" t="s">
        <v>13</v>
      </c>
      <c r="D161" t="s">
        <v>32</v>
      </c>
      <c r="E161" t="s">
        <v>39</v>
      </c>
      <c r="F161">
        <v>2</v>
      </c>
      <c r="G161" s="4">
        <v>5000</v>
      </c>
      <c r="H161" s="4" t="str">
        <f>IF(Table2[[#This Row],[Price]]=0,"No","Yes")</f>
        <v>Yes</v>
      </c>
      <c r="I161" t="s">
        <v>44</v>
      </c>
      <c r="J161" t="s">
        <v>51</v>
      </c>
      <c r="K161">
        <v>10000</v>
      </c>
      <c r="L161">
        <v>1</v>
      </c>
      <c r="M161">
        <v>2023</v>
      </c>
    </row>
    <row r="162" spans="1:13" x14ac:dyDescent="0.35">
      <c r="A162">
        <v>100161</v>
      </c>
      <c r="B162" s="1">
        <v>44933.666666666657</v>
      </c>
      <c r="C162" t="s">
        <v>24</v>
      </c>
      <c r="D162" t="s">
        <v>33</v>
      </c>
      <c r="E162" t="s">
        <v>39</v>
      </c>
      <c r="F162">
        <v>3</v>
      </c>
      <c r="G162" s="4">
        <v>18000</v>
      </c>
      <c r="H162" s="4" t="str">
        <f>IF(Table2[[#This Row],[Price]]=0,"No","Yes")</f>
        <v>Yes</v>
      </c>
      <c r="I162" t="s">
        <v>41</v>
      </c>
      <c r="J162" t="s">
        <v>50</v>
      </c>
      <c r="K162">
        <v>54000</v>
      </c>
      <c r="L162">
        <v>1</v>
      </c>
      <c r="M162">
        <v>2023</v>
      </c>
    </row>
    <row r="163" spans="1:13" x14ac:dyDescent="0.35">
      <c r="A163">
        <v>100162</v>
      </c>
      <c r="B163" s="1">
        <v>44933.708333333343</v>
      </c>
      <c r="C163" t="s">
        <v>24</v>
      </c>
      <c r="D163" t="s">
        <v>37</v>
      </c>
      <c r="E163" t="s">
        <v>39</v>
      </c>
      <c r="F163">
        <v>1</v>
      </c>
      <c r="G163" s="4">
        <v>1500</v>
      </c>
      <c r="H163" s="4" t="str">
        <f>IF(Table2[[#This Row],[Price]]=0,"No","Yes")</f>
        <v>Yes</v>
      </c>
      <c r="I163" t="s">
        <v>43</v>
      </c>
      <c r="J163" t="s">
        <v>46</v>
      </c>
      <c r="K163">
        <v>1500</v>
      </c>
      <c r="L163">
        <v>1</v>
      </c>
      <c r="M163">
        <v>2023</v>
      </c>
    </row>
    <row r="164" spans="1:13" x14ac:dyDescent="0.35">
      <c r="A164">
        <v>100163</v>
      </c>
      <c r="B164" s="1">
        <v>44933.75</v>
      </c>
      <c r="C164" t="s">
        <v>13</v>
      </c>
      <c r="D164" t="s">
        <v>32</v>
      </c>
      <c r="E164" t="s">
        <v>40</v>
      </c>
      <c r="F164">
        <v>1</v>
      </c>
      <c r="G164" s="4">
        <v>5000</v>
      </c>
      <c r="H164" s="4" t="str">
        <f>IF(Table2[[#This Row],[Price]]=0,"No","Yes")</f>
        <v>Yes</v>
      </c>
      <c r="I164" t="s">
        <v>43</v>
      </c>
      <c r="J164" t="s">
        <v>49</v>
      </c>
      <c r="K164">
        <v>5000</v>
      </c>
      <c r="L164">
        <v>1</v>
      </c>
      <c r="M164">
        <v>2023</v>
      </c>
    </row>
    <row r="165" spans="1:13" x14ac:dyDescent="0.35">
      <c r="A165">
        <v>100164</v>
      </c>
      <c r="B165" s="1">
        <v>44933.791666666657</v>
      </c>
      <c r="C165" t="s">
        <v>21</v>
      </c>
      <c r="D165" t="s">
        <v>38</v>
      </c>
      <c r="E165" t="s">
        <v>39</v>
      </c>
      <c r="F165">
        <v>1</v>
      </c>
      <c r="G165" s="4">
        <v>2500</v>
      </c>
      <c r="H165" s="4" t="str">
        <f>IF(Table2[[#This Row],[Price]]=0,"No","Yes")</f>
        <v>Yes</v>
      </c>
      <c r="I165" t="s">
        <v>44</v>
      </c>
      <c r="J165" t="s">
        <v>45</v>
      </c>
      <c r="K165">
        <v>2500</v>
      </c>
      <c r="L165">
        <v>1</v>
      </c>
      <c r="M165">
        <v>2023</v>
      </c>
    </row>
    <row r="166" spans="1:13" x14ac:dyDescent="0.35">
      <c r="A166">
        <v>100165</v>
      </c>
      <c r="B166" s="1">
        <v>44933.833333333343</v>
      </c>
      <c r="C166" t="s">
        <v>12</v>
      </c>
      <c r="D166" t="s">
        <v>35</v>
      </c>
      <c r="E166" t="s">
        <v>40</v>
      </c>
      <c r="F166">
        <v>1</v>
      </c>
      <c r="G166" s="4">
        <v>2500</v>
      </c>
      <c r="H166" s="4" t="str">
        <f>IF(Table2[[#This Row],[Price]]=0,"No","Yes")</f>
        <v>Yes</v>
      </c>
      <c r="I166" t="s">
        <v>44</v>
      </c>
      <c r="J166" t="s">
        <v>50</v>
      </c>
      <c r="K166">
        <v>2500</v>
      </c>
      <c r="L166">
        <v>1</v>
      </c>
      <c r="M166">
        <v>2023</v>
      </c>
    </row>
    <row r="167" spans="1:13" x14ac:dyDescent="0.35">
      <c r="A167">
        <v>100166</v>
      </c>
      <c r="B167" s="1">
        <v>44933.875</v>
      </c>
      <c r="C167" t="s">
        <v>20</v>
      </c>
      <c r="D167" t="s">
        <v>33</v>
      </c>
      <c r="E167" t="s">
        <v>40</v>
      </c>
      <c r="F167">
        <v>1</v>
      </c>
      <c r="G167" s="4">
        <v>45000</v>
      </c>
      <c r="H167" s="4" t="str">
        <f>IF(Table2[[#This Row],[Price]]=0,"No","Yes")</f>
        <v>Yes</v>
      </c>
      <c r="I167" t="s">
        <v>43</v>
      </c>
      <c r="J167" t="s">
        <v>49</v>
      </c>
      <c r="K167">
        <v>45000</v>
      </c>
      <c r="L167">
        <v>1</v>
      </c>
      <c r="M167">
        <v>2023</v>
      </c>
    </row>
    <row r="168" spans="1:13" x14ac:dyDescent="0.35">
      <c r="A168">
        <v>100167</v>
      </c>
      <c r="B168" s="1">
        <v>44933.916666666657</v>
      </c>
      <c r="C168" t="s">
        <v>19</v>
      </c>
      <c r="D168" t="s">
        <v>37</v>
      </c>
      <c r="E168" t="s">
        <v>40</v>
      </c>
      <c r="F168">
        <v>5</v>
      </c>
      <c r="G168" s="4">
        <v>18000</v>
      </c>
      <c r="H168" s="4" t="str">
        <f>IF(Table2[[#This Row],[Price]]=0,"No","Yes")</f>
        <v>Yes</v>
      </c>
      <c r="I168" t="s">
        <v>42</v>
      </c>
      <c r="J168" t="s">
        <v>49</v>
      </c>
      <c r="K168">
        <v>90000</v>
      </c>
      <c r="L168">
        <v>1</v>
      </c>
      <c r="M168">
        <v>2023</v>
      </c>
    </row>
    <row r="169" spans="1:13" x14ac:dyDescent="0.35">
      <c r="A169">
        <v>100168</v>
      </c>
      <c r="B169" s="1">
        <v>44933.958333333343</v>
      </c>
      <c r="C169" t="s">
        <v>24</v>
      </c>
      <c r="D169" t="s">
        <v>36</v>
      </c>
      <c r="E169" t="s">
        <v>39</v>
      </c>
      <c r="F169">
        <v>5</v>
      </c>
      <c r="G169" s="4">
        <v>65000</v>
      </c>
      <c r="H169" s="4" t="str">
        <f>IF(Table2[[#This Row],[Price]]=0,"No","Yes")</f>
        <v>Yes</v>
      </c>
      <c r="I169" t="s">
        <v>42</v>
      </c>
      <c r="J169" t="s">
        <v>46</v>
      </c>
      <c r="K169">
        <v>325000</v>
      </c>
      <c r="L169">
        <v>1</v>
      </c>
      <c r="M169">
        <v>2023</v>
      </c>
    </row>
    <row r="170" spans="1:13" x14ac:dyDescent="0.35">
      <c r="A170">
        <v>100169</v>
      </c>
      <c r="B170" s="1">
        <v>44934</v>
      </c>
      <c r="C170" t="s">
        <v>27</v>
      </c>
      <c r="D170" t="s">
        <v>38</v>
      </c>
      <c r="E170" t="s">
        <v>39</v>
      </c>
      <c r="F170">
        <v>5</v>
      </c>
      <c r="G170" s="4">
        <v>55000</v>
      </c>
      <c r="H170" s="4" t="str">
        <f>IF(Table2[[#This Row],[Price]]=0,"No","Yes")</f>
        <v>Yes</v>
      </c>
      <c r="I170" t="s">
        <v>42</v>
      </c>
      <c r="J170" t="s">
        <v>45</v>
      </c>
      <c r="K170">
        <v>275000</v>
      </c>
      <c r="L170">
        <v>1</v>
      </c>
      <c r="M170">
        <v>2023</v>
      </c>
    </row>
    <row r="171" spans="1:13" x14ac:dyDescent="0.35">
      <c r="A171">
        <v>100170</v>
      </c>
      <c r="B171" s="1">
        <v>44934.041666666657</v>
      </c>
      <c r="C171" t="s">
        <v>24</v>
      </c>
      <c r="D171" t="s">
        <v>36</v>
      </c>
      <c r="E171" t="s">
        <v>40</v>
      </c>
      <c r="F171">
        <v>4</v>
      </c>
      <c r="G171" s="4">
        <v>65000</v>
      </c>
      <c r="H171" s="4" t="str">
        <f>IF(Table2[[#This Row],[Price]]=0,"No","Yes")</f>
        <v>Yes</v>
      </c>
      <c r="I171" t="s">
        <v>41</v>
      </c>
      <c r="J171" t="s">
        <v>46</v>
      </c>
      <c r="K171">
        <v>260000</v>
      </c>
      <c r="L171">
        <v>1</v>
      </c>
      <c r="M171">
        <v>2023</v>
      </c>
    </row>
    <row r="172" spans="1:13" x14ac:dyDescent="0.35">
      <c r="A172">
        <v>100171</v>
      </c>
      <c r="B172" s="1">
        <v>44934.083333333343</v>
      </c>
      <c r="C172" t="s">
        <v>24</v>
      </c>
      <c r="D172" t="s">
        <v>32</v>
      </c>
      <c r="E172" t="s">
        <v>39</v>
      </c>
      <c r="F172">
        <v>4</v>
      </c>
      <c r="G172" s="4">
        <v>35000</v>
      </c>
      <c r="H172" s="4" t="str">
        <f>IF(Table2[[#This Row],[Price]]=0,"No","Yes")</f>
        <v>Yes</v>
      </c>
      <c r="I172" t="s">
        <v>43</v>
      </c>
      <c r="J172" t="s">
        <v>49</v>
      </c>
      <c r="K172">
        <v>140000</v>
      </c>
      <c r="L172">
        <v>1</v>
      </c>
      <c r="M172">
        <v>2023</v>
      </c>
    </row>
    <row r="173" spans="1:13" x14ac:dyDescent="0.35">
      <c r="A173">
        <v>100172</v>
      </c>
      <c r="B173" s="1">
        <v>44934.125</v>
      </c>
      <c r="C173" t="s">
        <v>24</v>
      </c>
      <c r="D173" t="s">
        <v>36</v>
      </c>
      <c r="E173" t="s">
        <v>39</v>
      </c>
      <c r="F173">
        <v>5</v>
      </c>
      <c r="G173" s="4">
        <v>5000</v>
      </c>
      <c r="H173" s="4" t="str">
        <f>IF(Table2[[#This Row],[Price]]=0,"No","Yes")</f>
        <v>Yes</v>
      </c>
      <c r="I173" t="s">
        <v>42</v>
      </c>
      <c r="J173" t="s">
        <v>48</v>
      </c>
      <c r="K173">
        <v>25000</v>
      </c>
      <c r="L173">
        <v>1</v>
      </c>
      <c r="M173">
        <v>2023</v>
      </c>
    </row>
    <row r="174" spans="1:13" x14ac:dyDescent="0.35">
      <c r="A174">
        <v>100173</v>
      </c>
      <c r="B174" s="1">
        <v>44934.166666666657</v>
      </c>
      <c r="C174" t="s">
        <v>20</v>
      </c>
      <c r="D174" t="s">
        <v>36</v>
      </c>
      <c r="E174" t="s">
        <v>40</v>
      </c>
      <c r="F174">
        <v>3</v>
      </c>
      <c r="G174" s="4">
        <v>1500</v>
      </c>
      <c r="H174" s="4" t="str">
        <f>IF(Table2[[#This Row],[Price]]=0,"No","Yes")</f>
        <v>Yes</v>
      </c>
      <c r="I174" t="s">
        <v>44</v>
      </c>
      <c r="J174" t="s">
        <v>51</v>
      </c>
      <c r="K174">
        <v>4500</v>
      </c>
      <c r="L174">
        <v>1</v>
      </c>
      <c r="M174">
        <v>2023</v>
      </c>
    </row>
    <row r="175" spans="1:13" x14ac:dyDescent="0.35">
      <c r="A175">
        <v>100174</v>
      </c>
      <c r="B175" s="1">
        <v>44934.208333333343</v>
      </c>
      <c r="C175" t="s">
        <v>20</v>
      </c>
      <c r="D175" t="s">
        <v>38</v>
      </c>
      <c r="E175" t="s">
        <v>39</v>
      </c>
      <c r="F175">
        <v>2</v>
      </c>
      <c r="G175" s="4">
        <v>35000</v>
      </c>
      <c r="H175" s="4" t="str">
        <f>IF(Table2[[#This Row],[Price]]=0,"No","Yes")</f>
        <v>Yes</v>
      </c>
      <c r="I175" t="s">
        <v>43</v>
      </c>
      <c r="J175" t="s">
        <v>48</v>
      </c>
      <c r="K175">
        <v>70000</v>
      </c>
      <c r="L175">
        <v>1</v>
      </c>
      <c r="M175">
        <v>2023</v>
      </c>
    </row>
    <row r="176" spans="1:13" x14ac:dyDescent="0.35">
      <c r="A176">
        <v>100175</v>
      </c>
      <c r="B176" s="1">
        <v>44934.25</v>
      </c>
      <c r="C176" t="s">
        <v>27</v>
      </c>
      <c r="D176" t="s">
        <v>38</v>
      </c>
      <c r="E176" t="s">
        <v>39</v>
      </c>
      <c r="F176">
        <v>1</v>
      </c>
      <c r="G176" s="4">
        <v>5000</v>
      </c>
      <c r="H176" s="4" t="str">
        <f>IF(Table2[[#This Row],[Price]]=0,"No","Yes")</f>
        <v>Yes</v>
      </c>
      <c r="I176" t="s">
        <v>43</v>
      </c>
      <c r="J176" t="s">
        <v>48</v>
      </c>
      <c r="K176">
        <v>5000</v>
      </c>
      <c r="L176">
        <v>1</v>
      </c>
      <c r="M176">
        <v>2023</v>
      </c>
    </row>
    <row r="177" spans="1:13" x14ac:dyDescent="0.35">
      <c r="A177">
        <v>100176</v>
      </c>
      <c r="B177" s="1">
        <v>44934.291666666657</v>
      </c>
      <c r="C177" t="s">
        <v>23</v>
      </c>
      <c r="D177" t="s">
        <v>35</v>
      </c>
      <c r="E177" t="s">
        <v>40</v>
      </c>
      <c r="F177">
        <v>3</v>
      </c>
      <c r="G177" s="4">
        <v>2500</v>
      </c>
      <c r="H177" s="4" t="str">
        <f>IF(Table2[[#This Row],[Price]]=0,"No","Yes")</f>
        <v>Yes</v>
      </c>
      <c r="I177" t="s">
        <v>44</v>
      </c>
      <c r="J177" t="s">
        <v>46</v>
      </c>
      <c r="K177">
        <v>7500</v>
      </c>
      <c r="L177">
        <v>1</v>
      </c>
      <c r="M177">
        <v>2023</v>
      </c>
    </row>
    <row r="178" spans="1:13" x14ac:dyDescent="0.35">
      <c r="A178">
        <v>100177</v>
      </c>
      <c r="B178" s="1">
        <v>44934.333333333343</v>
      </c>
      <c r="C178" t="s">
        <v>23</v>
      </c>
      <c r="D178" t="s">
        <v>36</v>
      </c>
      <c r="E178" t="s">
        <v>40</v>
      </c>
      <c r="F178">
        <v>5</v>
      </c>
      <c r="G178" s="4">
        <v>2500</v>
      </c>
      <c r="H178" s="4" t="str">
        <f>IF(Table2[[#This Row],[Price]]=0,"No","Yes")</f>
        <v>Yes</v>
      </c>
      <c r="I178" t="s">
        <v>41</v>
      </c>
      <c r="J178" t="s">
        <v>48</v>
      </c>
      <c r="K178">
        <v>12500</v>
      </c>
      <c r="L178">
        <v>1</v>
      </c>
      <c r="M178">
        <v>2023</v>
      </c>
    </row>
    <row r="179" spans="1:13" x14ac:dyDescent="0.35">
      <c r="A179">
        <v>100178</v>
      </c>
      <c r="B179" s="1">
        <v>44934.375</v>
      </c>
      <c r="C179" t="s">
        <v>17</v>
      </c>
      <c r="D179" t="s">
        <v>38</v>
      </c>
      <c r="E179" t="s">
        <v>39</v>
      </c>
      <c r="F179">
        <v>2</v>
      </c>
      <c r="G179" s="4">
        <v>1500</v>
      </c>
      <c r="H179" s="4" t="str">
        <f>IF(Table2[[#This Row],[Price]]=0,"No","Yes")</f>
        <v>Yes</v>
      </c>
      <c r="I179" t="s">
        <v>43</v>
      </c>
      <c r="J179" t="s">
        <v>47</v>
      </c>
      <c r="K179">
        <v>3000</v>
      </c>
      <c r="L179">
        <v>1</v>
      </c>
      <c r="M179">
        <v>2023</v>
      </c>
    </row>
    <row r="180" spans="1:13" x14ac:dyDescent="0.35">
      <c r="A180">
        <v>100179</v>
      </c>
      <c r="B180" s="1">
        <v>44934.416666666657</v>
      </c>
      <c r="C180" t="s">
        <v>20</v>
      </c>
      <c r="D180" t="s">
        <v>35</v>
      </c>
      <c r="E180" t="s">
        <v>39</v>
      </c>
      <c r="F180">
        <v>5</v>
      </c>
      <c r="G180" s="4">
        <v>18000</v>
      </c>
      <c r="H180" s="4" t="str">
        <f>IF(Table2[[#This Row],[Price]]=0,"No","Yes")</f>
        <v>Yes</v>
      </c>
      <c r="I180" t="s">
        <v>43</v>
      </c>
      <c r="J180" t="s">
        <v>51</v>
      </c>
      <c r="K180">
        <v>90000</v>
      </c>
      <c r="L180">
        <v>1</v>
      </c>
      <c r="M180">
        <v>2023</v>
      </c>
    </row>
    <row r="181" spans="1:13" x14ac:dyDescent="0.35">
      <c r="A181">
        <v>100180</v>
      </c>
      <c r="B181" s="1">
        <v>44934.458333333343</v>
      </c>
      <c r="C181" t="s">
        <v>21</v>
      </c>
      <c r="D181" t="s">
        <v>36</v>
      </c>
      <c r="E181" t="s">
        <v>39</v>
      </c>
      <c r="F181">
        <v>5</v>
      </c>
      <c r="G181" s="4">
        <v>18000</v>
      </c>
      <c r="H181" s="4" t="str">
        <f>IF(Table2[[#This Row],[Price]]=0,"No","Yes")</f>
        <v>Yes</v>
      </c>
      <c r="I181" t="s">
        <v>41</v>
      </c>
      <c r="J181" t="s">
        <v>50</v>
      </c>
      <c r="K181">
        <v>90000</v>
      </c>
      <c r="L181">
        <v>1</v>
      </c>
      <c r="M181">
        <v>2023</v>
      </c>
    </row>
    <row r="182" spans="1:13" x14ac:dyDescent="0.35">
      <c r="A182">
        <v>100181</v>
      </c>
      <c r="B182" s="1">
        <v>44934.5</v>
      </c>
      <c r="C182" t="s">
        <v>22</v>
      </c>
      <c r="D182" t="s">
        <v>37</v>
      </c>
      <c r="E182" t="s">
        <v>40</v>
      </c>
      <c r="F182">
        <v>4</v>
      </c>
      <c r="G182" s="4">
        <v>45000</v>
      </c>
      <c r="H182" s="4" t="str">
        <f>IF(Table2[[#This Row],[Price]]=0,"No","Yes")</f>
        <v>Yes</v>
      </c>
      <c r="I182" t="s">
        <v>44</v>
      </c>
      <c r="J182" t="s">
        <v>46</v>
      </c>
      <c r="K182">
        <v>180000</v>
      </c>
      <c r="L182">
        <v>1</v>
      </c>
      <c r="M182">
        <v>2023</v>
      </c>
    </row>
    <row r="183" spans="1:13" x14ac:dyDescent="0.35">
      <c r="A183">
        <v>100182</v>
      </c>
      <c r="B183" s="1">
        <v>44934.541666666657</v>
      </c>
      <c r="C183" t="s">
        <v>18</v>
      </c>
      <c r="D183" t="s">
        <v>36</v>
      </c>
      <c r="E183" t="s">
        <v>40</v>
      </c>
      <c r="F183">
        <v>3</v>
      </c>
      <c r="G183" s="4">
        <v>65000</v>
      </c>
      <c r="H183" s="4" t="str">
        <f>IF(Table2[[#This Row],[Price]]=0,"No","Yes")</f>
        <v>Yes</v>
      </c>
      <c r="I183" t="s">
        <v>41</v>
      </c>
      <c r="J183" t="s">
        <v>47</v>
      </c>
      <c r="K183">
        <v>195000</v>
      </c>
      <c r="L183">
        <v>1</v>
      </c>
      <c r="M183">
        <v>2023</v>
      </c>
    </row>
    <row r="184" spans="1:13" x14ac:dyDescent="0.35">
      <c r="A184">
        <v>100183</v>
      </c>
      <c r="B184" s="1">
        <v>44934.583333333343</v>
      </c>
      <c r="C184" t="s">
        <v>15</v>
      </c>
      <c r="D184" t="s">
        <v>33</v>
      </c>
      <c r="E184" t="s">
        <v>39</v>
      </c>
      <c r="F184">
        <v>1</v>
      </c>
      <c r="G184" s="4">
        <v>35000</v>
      </c>
      <c r="H184" s="4" t="str">
        <f>IF(Table2[[#This Row],[Price]]=0,"No","Yes")</f>
        <v>Yes</v>
      </c>
      <c r="I184" t="s">
        <v>42</v>
      </c>
      <c r="J184" t="s">
        <v>46</v>
      </c>
      <c r="K184">
        <v>35000</v>
      </c>
      <c r="L184">
        <v>1</v>
      </c>
      <c r="M184">
        <v>2023</v>
      </c>
    </row>
    <row r="185" spans="1:13" x14ac:dyDescent="0.35">
      <c r="A185">
        <v>100184</v>
      </c>
      <c r="B185" s="1">
        <v>44934.625</v>
      </c>
      <c r="C185" t="s">
        <v>24</v>
      </c>
      <c r="D185" t="s">
        <v>32</v>
      </c>
      <c r="E185" t="s">
        <v>39</v>
      </c>
      <c r="F185">
        <v>3</v>
      </c>
      <c r="G185" s="4">
        <v>18000</v>
      </c>
      <c r="H185" s="4" t="str">
        <f>IF(Table2[[#This Row],[Price]]=0,"No","Yes")</f>
        <v>Yes</v>
      </c>
      <c r="I185" t="s">
        <v>41</v>
      </c>
      <c r="J185" t="s">
        <v>48</v>
      </c>
      <c r="K185">
        <v>54000</v>
      </c>
      <c r="L185">
        <v>1</v>
      </c>
      <c r="M185">
        <v>2023</v>
      </c>
    </row>
    <row r="186" spans="1:13" x14ac:dyDescent="0.35">
      <c r="A186">
        <v>100185</v>
      </c>
      <c r="B186" s="1">
        <v>44934.666666666657</v>
      </c>
      <c r="C186" t="s">
        <v>22</v>
      </c>
      <c r="D186" t="s">
        <v>37</v>
      </c>
      <c r="E186" t="s">
        <v>39</v>
      </c>
      <c r="F186">
        <v>4</v>
      </c>
      <c r="G186" s="4">
        <v>22000</v>
      </c>
      <c r="H186" s="4" t="str">
        <f>IF(Table2[[#This Row],[Price]]=0,"No","Yes")</f>
        <v>Yes</v>
      </c>
      <c r="I186" t="s">
        <v>43</v>
      </c>
      <c r="J186" t="s">
        <v>50</v>
      </c>
      <c r="K186">
        <v>88000</v>
      </c>
      <c r="L186">
        <v>1</v>
      </c>
      <c r="M186">
        <v>2023</v>
      </c>
    </row>
    <row r="187" spans="1:13" x14ac:dyDescent="0.35">
      <c r="A187">
        <v>100186</v>
      </c>
      <c r="B187" s="1">
        <v>44934.708333333343</v>
      </c>
      <c r="C187" t="s">
        <v>27</v>
      </c>
      <c r="D187" t="s">
        <v>38</v>
      </c>
      <c r="E187" t="s">
        <v>40</v>
      </c>
      <c r="F187">
        <v>5</v>
      </c>
      <c r="G187" s="4">
        <v>55000</v>
      </c>
      <c r="H187" s="4" t="str">
        <f>IF(Table2[[#This Row],[Price]]=0,"No","Yes")</f>
        <v>Yes</v>
      </c>
      <c r="I187" t="s">
        <v>41</v>
      </c>
      <c r="J187" t="s">
        <v>45</v>
      </c>
      <c r="K187">
        <v>275000</v>
      </c>
      <c r="L187">
        <v>1</v>
      </c>
      <c r="M187">
        <v>2023</v>
      </c>
    </row>
    <row r="188" spans="1:13" x14ac:dyDescent="0.35">
      <c r="A188">
        <v>100187</v>
      </c>
      <c r="B188" s="1">
        <v>44934.75</v>
      </c>
      <c r="C188" t="s">
        <v>13</v>
      </c>
      <c r="D188" t="s">
        <v>34</v>
      </c>
      <c r="E188" t="s">
        <v>39</v>
      </c>
      <c r="F188">
        <v>4</v>
      </c>
      <c r="G188" s="4">
        <v>5000</v>
      </c>
      <c r="H188" s="4" t="str">
        <f>IF(Table2[[#This Row],[Price]]=0,"No","Yes")</f>
        <v>Yes</v>
      </c>
      <c r="I188" t="s">
        <v>41</v>
      </c>
      <c r="J188" t="s">
        <v>50</v>
      </c>
      <c r="K188">
        <v>20000</v>
      </c>
      <c r="L188">
        <v>1</v>
      </c>
      <c r="M188">
        <v>2023</v>
      </c>
    </row>
    <row r="189" spans="1:13" x14ac:dyDescent="0.35">
      <c r="A189">
        <v>100188</v>
      </c>
      <c r="B189" s="1">
        <v>44934.791666666657</v>
      </c>
      <c r="C189" t="s">
        <v>20</v>
      </c>
      <c r="D189" t="s">
        <v>37</v>
      </c>
      <c r="E189" t="s">
        <v>39</v>
      </c>
      <c r="F189">
        <v>5</v>
      </c>
      <c r="G189" s="4">
        <v>65000</v>
      </c>
      <c r="H189" s="4" t="str">
        <f>IF(Table2[[#This Row],[Price]]=0,"No","Yes")</f>
        <v>Yes</v>
      </c>
      <c r="I189" t="s">
        <v>44</v>
      </c>
      <c r="J189" t="s">
        <v>50</v>
      </c>
      <c r="K189">
        <v>325000</v>
      </c>
      <c r="L189">
        <v>1</v>
      </c>
      <c r="M189">
        <v>2023</v>
      </c>
    </row>
    <row r="190" spans="1:13" x14ac:dyDescent="0.35">
      <c r="A190">
        <v>100189</v>
      </c>
      <c r="B190" s="1">
        <v>44934.833333333343</v>
      </c>
      <c r="C190" t="s">
        <v>22</v>
      </c>
      <c r="D190" t="s">
        <v>33</v>
      </c>
      <c r="E190" t="s">
        <v>39</v>
      </c>
      <c r="F190">
        <v>4</v>
      </c>
      <c r="G190" s="4">
        <v>55000</v>
      </c>
      <c r="H190" s="4" t="str">
        <f>IF(Table2[[#This Row],[Price]]=0,"No","Yes")</f>
        <v>Yes</v>
      </c>
      <c r="I190" t="s">
        <v>44</v>
      </c>
      <c r="J190" t="s">
        <v>50</v>
      </c>
      <c r="K190">
        <v>220000</v>
      </c>
      <c r="L190">
        <v>1</v>
      </c>
      <c r="M190">
        <v>2023</v>
      </c>
    </row>
    <row r="191" spans="1:13" x14ac:dyDescent="0.35">
      <c r="A191">
        <v>100190</v>
      </c>
      <c r="B191" s="1">
        <v>44934.875</v>
      </c>
      <c r="C191" t="s">
        <v>15</v>
      </c>
      <c r="D191" t="s">
        <v>38</v>
      </c>
      <c r="E191" t="s">
        <v>40</v>
      </c>
      <c r="F191">
        <v>3</v>
      </c>
      <c r="G191" s="4">
        <v>12000</v>
      </c>
      <c r="H191" s="4" t="str">
        <f>IF(Table2[[#This Row],[Price]]=0,"No","Yes")</f>
        <v>Yes</v>
      </c>
      <c r="I191" t="s">
        <v>44</v>
      </c>
      <c r="J191" t="s">
        <v>49</v>
      </c>
      <c r="K191">
        <v>36000</v>
      </c>
      <c r="L191">
        <v>1</v>
      </c>
      <c r="M191">
        <v>2023</v>
      </c>
    </row>
    <row r="192" spans="1:13" hidden="1" x14ac:dyDescent="0.35">
      <c r="A192">
        <v>100191</v>
      </c>
      <c r="B192" s="1">
        <v>44934.916666666657</v>
      </c>
      <c r="C192" t="s">
        <v>26</v>
      </c>
      <c r="D192" t="s">
        <v>33</v>
      </c>
      <c r="E192" t="s">
        <v>40</v>
      </c>
      <c r="F192">
        <v>1</v>
      </c>
      <c r="H192" s="4" t="str">
        <f>IF(Table2[[#This Row],[Price]]=0,"No","Yes")</f>
        <v>No</v>
      </c>
      <c r="I192" t="s">
        <v>42</v>
      </c>
      <c r="J192" t="s">
        <v>50</v>
      </c>
      <c r="K192">
        <v>5000</v>
      </c>
      <c r="L192">
        <v>1</v>
      </c>
      <c r="M192">
        <v>2023</v>
      </c>
    </row>
    <row r="193" spans="1:13" x14ac:dyDescent="0.35">
      <c r="A193">
        <v>100192</v>
      </c>
      <c r="B193" s="1">
        <v>44934.958333333343</v>
      </c>
      <c r="C193" t="s">
        <v>26</v>
      </c>
      <c r="D193" t="s">
        <v>32</v>
      </c>
      <c r="E193" t="s">
        <v>39</v>
      </c>
      <c r="F193">
        <v>2</v>
      </c>
      <c r="G193" s="4">
        <v>1500</v>
      </c>
      <c r="H193" s="4" t="str">
        <f>IF(Table2[[#This Row],[Price]]=0,"No","Yes")</f>
        <v>Yes</v>
      </c>
      <c r="I193" t="s">
        <v>41</v>
      </c>
      <c r="J193" t="s">
        <v>47</v>
      </c>
      <c r="K193">
        <v>3000</v>
      </c>
      <c r="L193">
        <v>1</v>
      </c>
      <c r="M193">
        <v>2023</v>
      </c>
    </row>
    <row r="194" spans="1:13" x14ac:dyDescent="0.35">
      <c r="A194">
        <v>100193</v>
      </c>
      <c r="B194" s="1">
        <v>44935</v>
      </c>
      <c r="C194" t="s">
        <v>23</v>
      </c>
      <c r="D194" t="s">
        <v>33</v>
      </c>
      <c r="E194" t="s">
        <v>39</v>
      </c>
      <c r="F194">
        <v>5</v>
      </c>
      <c r="G194" s="4">
        <v>22000</v>
      </c>
      <c r="H194" s="4" t="str">
        <f>IF(Table2[[#This Row],[Price]]=0,"No","Yes")</f>
        <v>Yes</v>
      </c>
      <c r="I194" t="s">
        <v>43</v>
      </c>
      <c r="J194" t="s">
        <v>50</v>
      </c>
      <c r="K194">
        <v>110000</v>
      </c>
      <c r="L194">
        <v>1</v>
      </c>
      <c r="M194">
        <v>2023</v>
      </c>
    </row>
    <row r="195" spans="1:13" x14ac:dyDescent="0.35">
      <c r="A195">
        <v>100194</v>
      </c>
      <c r="B195" s="1">
        <v>44935.041666666657</v>
      </c>
      <c r="C195" t="s">
        <v>28</v>
      </c>
      <c r="D195" t="s">
        <v>33</v>
      </c>
      <c r="E195" t="s">
        <v>39</v>
      </c>
      <c r="F195">
        <v>5</v>
      </c>
      <c r="G195" s="4">
        <v>35000</v>
      </c>
      <c r="H195" s="4" t="str">
        <f>IF(Table2[[#This Row],[Price]]=0,"No","Yes")</f>
        <v>Yes</v>
      </c>
      <c r="I195" t="s">
        <v>43</v>
      </c>
      <c r="J195" t="s">
        <v>47</v>
      </c>
      <c r="K195">
        <v>175000</v>
      </c>
      <c r="L195">
        <v>1</v>
      </c>
      <c r="M195">
        <v>2023</v>
      </c>
    </row>
    <row r="196" spans="1:13" x14ac:dyDescent="0.35">
      <c r="A196">
        <v>100195</v>
      </c>
      <c r="B196" s="1">
        <v>44935.083333333343</v>
      </c>
      <c r="C196" t="s">
        <v>22</v>
      </c>
      <c r="D196" t="s">
        <v>35</v>
      </c>
      <c r="E196" t="s">
        <v>39</v>
      </c>
      <c r="F196">
        <v>5</v>
      </c>
      <c r="G196" s="4">
        <v>1500</v>
      </c>
      <c r="H196" s="4" t="str">
        <f>IF(Table2[[#This Row],[Price]]=0,"No","Yes")</f>
        <v>Yes</v>
      </c>
      <c r="I196" t="s">
        <v>41</v>
      </c>
      <c r="J196" t="s">
        <v>48</v>
      </c>
      <c r="K196">
        <v>7500</v>
      </c>
      <c r="L196">
        <v>1</v>
      </c>
      <c r="M196">
        <v>2023</v>
      </c>
    </row>
    <row r="197" spans="1:13" x14ac:dyDescent="0.35">
      <c r="A197">
        <v>100196</v>
      </c>
      <c r="B197" s="1">
        <v>44935.125</v>
      </c>
      <c r="C197" t="s">
        <v>26</v>
      </c>
      <c r="D197" t="s">
        <v>37</v>
      </c>
      <c r="E197" t="s">
        <v>39</v>
      </c>
      <c r="F197">
        <v>1</v>
      </c>
      <c r="G197" s="4">
        <v>1500</v>
      </c>
      <c r="H197" s="4" t="str">
        <f>IF(Table2[[#This Row],[Price]]=0,"No","Yes")</f>
        <v>Yes</v>
      </c>
      <c r="I197" t="s">
        <v>44</v>
      </c>
      <c r="J197" t="s">
        <v>46</v>
      </c>
      <c r="K197">
        <v>1500</v>
      </c>
      <c r="L197">
        <v>1</v>
      </c>
      <c r="M197">
        <v>2023</v>
      </c>
    </row>
    <row r="198" spans="1:13" x14ac:dyDescent="0.35">
      <c r="A198">
        <v>100197</v>
      </c>
      <c r="B198" s="1">
        <v>44935.166666666657</v>
      </c>
      <c r="C198" t="s">
        <v>19</v>
      </c>
      <c r="D198" t="s">
        <v>38</v>
      </c>
      <c r="E198" t="s">
        <v>40</v>
      </c>
      <c r="F198">
        <v>4</v>
      </c>
      <c r="G198" s="4">
        <v>18000</v>
      </c>
      <c r="H198" s="4" t="str">
        <f>IF(Table2[[#This Row],[Price]]=0,"No","Yes")</f>
        <v>Yes</v>
      </c>
      <c r="I198" t="s">
        <v>43</v>
      </c>
      <c r="J198" t="s">
        <v>47</v>
      </c>
      <c r="K198">
        <v>72000</v>
      </c>
      <c r="L198">
        <v>1</v>
      </c>
      <c r="M198">
        <v>2023</v>
      </c>
    </row>
    <row r="199" spans="1:13" x14ac:dyDescent="0.35">
      <c r="A199">
        <v>100198</v>
      </c>
      <c r="B199" s="1">
        <v>44935.208333333343</v>
      </c>
      <c r="C199" t="s">
        <v>13</v>
      </c>
      <c r="D199" t="s">
        <v>37</v>
      </c>
      <c r="E199" t="s">
        <v>39</v>
      </c>
      <c r="F199">
        <v>3</v>
      </c>
      <c r="G199" s="4">
        <v>22000</v>
      </c>
      <c r="H199" s="4" t="str">
        <f>IF(Table2[[#This Row],[Price]]=0,"No","Yes")</f>
        <v>Yes</v>
      </c>
      <c r="I199" t="s">
        <v>44</v>
      </c>
      <c r="J199" t="s">
        <v>50</v>
      </c>
      <c r="K199">
        <v>66000</v>
      </c>
      <c r="L199">
        <v>1</v>
      </c>
      <c r="M199">
        <v>2023</v>
      </c>
    </row>
    <row r="200" spans="1:13" x14ac:dyDescent="0.35">
      <c r="A200">
        <v>100199</v>
      </c>
      <c r="B200" s="1">
        <v>44935.25</v>
      </c>
      <c r="C200" t="s">
        <v>18</v>
      </c>
      <c r="D200" t="s">
        <v>36</v>
      </c>
      <c r="E200" t="s">
        <v>40</v>
      </c>
      <c r="F200">
        <v>1</v>
      </c>
      <c r="G200" s="4">
        <v>45000</v>
      </c>
      <c r="H200" s="4" t="str">
        <f>IF(Table2[[#This Row],[Price]]=0,"No","Yes")</f>
        <v>Yes</v>
      </c>
      <c r="I200" t="s">
        <v>41</v>
      </c>
      <c r="J200" t="s">
        <v>49</v>
      </c>
      <c r="K200">
        <v>45000</v>
      </c>
      <c r="L200">
        <v>1</v>
      </c>
      <c r="M200">
        <v>2023</v>
      </c>
    </row>
    <row r="201" spans="1:13" x14ac:dyDescent="0.35">
      <c r="A201">
        <v>100200</v>
      </c>
      <c r="B201" s="1">
        <v>44935.291666666657</v>
      </c>
      <c r="C201" t="s">
        <v>17</v>
      </c>
      <c r="D201" t="s">
        <v>34</v>
      </c>
      <c r="E201" t="s">
        <v>40</v>
      </c>
      <c r="F201">
        <v>5</v>
      </c>
      <c r="G201" s="4">
        <v>5000</v>
      </c>
      <c r="H201" s="4" t="str">
        <f>IF(Table2[[#This Row],[Price]]=0,"No","Yes")</f>
        <v>Yes</v>
      </c>
      <c r="I201" t="s">
        <v>41</v>
      </c>
      <c r="J201" t="s">
        <v>49</v>
      </c>
      <c r="K201">
        <v>25000</v>
      </c>
      <c r="L201">
        <v>1</v>
      </c>
      <c r="M201">
        <v>2023</v>
      </c>
    </row>
    <row r="202" spans="1:13" x14ac:dyDescent="0.35">
      <c r="A202">
        <v>100201</v>
      </c>
      <c r="B202" s="1">
        <v>44935.333333333343</v>
      </c>
      <c r="C202" t="s">
        <v>19</v>
      </c>
      <c r="D202" t="s">
        <v>35</v>
      </c>
      <c r="E202" t="s">
        <v>39</v>
      </c>
      <c r="F202">
        <v>3</v>
      </c>
      <c r="G202" s="4">
        <v>22000</v>
      </c>
      <c r="H202" s="4" t="str">
        <f>IF(Table2[[#This Row],[Price]]=0,"No","Yes")</f>
        <v>Yes</v>
      </c>
      <c r="I202" t="s">
        <v>44</v>
      </c>
      <c r="J202" t="s">
        <v>46</v>
      </c>
      <c r="K202">
        <v>66000</v>
      </c>
      <c r="L202">
        <v>1</v>
      </c>
      <c r="M202">
        <v>2023</v>
      </c>
    </row>
    <row r="203" spans="1:13" x14ac:dyDescent="0.35">
      <c r="A203">
        <v>100202</v>
      </c>
      <c r="B203" s="1">
        <v>44935.375</v>
      </c>
      <c r="C203" t="s">
        <v>17</v>
      </c>
      <c r="D203" t="s">
        <v>37</v>
      </c>
      <c r="E203" t="s">
        <v>39</v>
      </c>
      <c r="F203">
        <v>2</v>
      </c>
      <c r="G203" s="4">
        <v>5000</v>
      </c>
      <c r="H203" s="4" t="str">
        <f>IF(Table2[[#This Row],[Price]]=0,"No","Yes")</f>
        <v>Yes</v>
      </c>
      <c r="I203" t="s">
        <v>44</v>
      </c>
      <c r="J203" t="s">
        <v>47</v>
      </c>
      <c r="K203">
        <v>10000</v>
      </c>
      <c r="L203">
        <v>1</v>
      </c>
      <c r="M203">
        <v>2023</v>
      </c>
    </row>
    <row r="204" spans="1:13" x14ac:dyDescent="0.35">
      <c r="A204">
        <v>100203</v>
      </c>
      <c r="B204" s="1">
        <v>44935.416666666657</v>
      </c>
      <c r="C204" t="s">
        <v>13</v>
      </c>
      <c r="D204" t="s">
        <v>38</v>
      </c>
      <c r="E204" t="s">
        <v>40</v>
      </c>
      <c r="F204">
        <v>1</v>
      </c>
      <c r="G204" s="4">
        <v>5000</v>
      </c>
      <c r="H204" s="4" t="str">
        <f>IF(Table2[[#This Row],[Price]]=0,"No","Yes")</f>
        <v>Yes</v>
      </c>
      <c r="I204" t="s">
        <v>41</v>
      </c>
      <c r="J204" t="s">
        <v>49</v>
      </c>
      <c r="K204">
        <v>5000</v>
      </c>
      <c r="L204">
        <v>1</v>
      </c>
      <c r="M204">
        <v>2023</v>
      </c>
    </row>
    <row r="205" spans="1:13" x14ac:dyDescent="0.35">
      <c r="A205">
        <v>100204</v>
      </c>
      <c r="B205" s="1">
        <v>44935.458333333343</v>
      </c>
      <c r="C205" t="s">
        <v>12</v>
      </c>
      <c r="D205" t="s">
        <v>35</v>
      </c>
      <c r="E205" t="s">
        <v>39</v>
      </c>
      <c r="F205">
        <v>2</v>
      </c>
      <c r="G205" s="4">
        <v>1500</v>
      </c>
      <c r="H205" s="4" t="str">
        <f>IF(Table2[[#This Row],[Price]]=0,"No","Yes")</f>
        <v>Yes</v>
      </c>
      <c r="I205" t="s">
        <v>41</v>
      </c>
      <c r="J205" t="s">
        <v>50</v>
      </c>
      <c r="K205">
        <v>3000</v>
      </c>
      <c r="L205">
        <v>1</v>
      </c>
      <c r="M205">
        <v>2023</v>
      </c>
    </row>
    <row r="206" spans="1:13" x14ac:dyDescent="0.35">
      <c r="A206">
        <v>100205</v>
      </c>
      <c r="B206" s="1">
        <v>44935.5</v>
      </c>
      <c r="C206" t="s">
        <v>13</v>
      </c>
      <c r="D206" t="s">
        <v>37</v>
      </c>
      <c r="E206" t="s">
        <v>39</v>
      </c>
      <c r="F206">
        <v>4</v>
      </c>
      <c r="G206" s="4">
        <v>55000</v>
      </c>
      <c r="H206" s="4" t="str">
        <f>IF(Table2[[#This Row],[Price]]=0,"No","Yes")</f>
        <v>Yes</v>
      </c>
      <c r="I206" t="s">
        <v>41</v>
      </c>
      <c r="J206" t="s">
        <v>51</v>
      </c>
      <c r="K206">
        <v>220000</v>
      </c>
      <c r="L206">
        <v>1</v>
      </c>
      <c r="M206">
        <v>2023</v>
      </c>
    </row>
    <row r="207" spans="1:13" x14ac:dyDescent="0.35">
      <c r="A207">
        <v>100206</v>
      </c>
      <c r="B207" s="1">
        <v>44935.541666666657</v>
      </c>
      <c r="C207" t="s">
        <v>28</v>
      </c>
      <c r="D207" t="s">
        <v>36</v>
      </c>
      <c r="E207" t="s">
        <v>39</v>
      </c>
      <c r="F207">
        <v>1</v>
      </c>
      <c r="G207" s="4">
        <v>12000</v>
      </c>
      <c r="H207" s="4" t="str">
        <f>IF(Table2[[#This Row],[Price]]=0,"No","Yes")</f>
        <v>Yes</v>
      </c>
      <c r="I207" t="s">
        <v>41</v>
      </c>
      <c r="J207" t="s">
        <v>48</v>
      </c>
      <c r="K207">
        <v>12000</v>
      </c>
      <c r="L207">
        <v>1</v>
      </c>
      <c r="M207">
        <v>2023</v>
      </c>
    </row>
    <row r="208" spans="1:13" x14ac:dyDescent="0.35">
      <c r="A208">
        <v>100207</v>
      </c>
      <c r="B208" s="1">
        <v>44935.583333333343</v>
      </c>
      <c r="C208" t="s">
        <v>23</v>
      </c>
      <c r="D208" t="s">
        <v>33</v>
      </c>
      <c r="E208" t="s">
        <v>39</v>
      </c>
      <c r="F208">
        <v>1</v>
      </c>
      <c r="G208" s="4">
        <v>18000</v>
      </c>
      <c r="H208" s="4" t="str">
        <f>IF(Table2[[#This Row],[Price]]=0,"No","Yes")</f>
        <v>Yes</v>
      </c>
      <c r="I208" t="s">
        <v>41</v>
      </c>
      <c r="J208" t="s">
        <v>46</v>
      </c>
      <c r="K208">
        <v>18000</v>
      </c>
      <c r="L208">
        <v>1</v>
      </c>
      <c r="M208">
        <v>2023</v>
      </c>
    </row>
    <row r="209" spans="1:13" x14ac:dyDescent="0.35">
      <c r="A209">
        <v>100208</v>
      </c>
      <c r="B209" s="1">
        <v>44935.625</v>
      </c>
      <c r="C209" t="s">
        <v>16</v>
      </c>
      <c r="D209" t="s">
        <v>34</v>
      </c>
      <c r="E209" t="s">
        <v>39</v>
      </c>
      <c r="F209">
        <v>4</v>
      </c>
      <c r="G209" s="4">
        <v>12000</v>
      </c>
      <c r="H209" s="4" t="str">
        <f>IF(Table2[[#This Row],[Price]]=0,"No","Yes")</f>
        <v>Yes</v>
      </c>
      <c r="I209" t="s">
        <v>42</v>
      </c>
      <c r="J209" t="s">
        <v>46</v>
      </c>
      <c r="K209">
        <v>48000</v>
      </c>
      <c r="L209">
        <v>1</v>
      </c>
      <c r="M209">
        <v>2023</v>
      </c>
    </row>
    <row r="210" spans="1:13" x14ac:dyDescent="0.35">
      <c r="A210">
        <v>100209</v>
      </c>
      <c r="B210" s="1">
        <v>44935.666666666657</v>
      </c>
      <c r="C210" t="s">
        <v>12</v>
      </c>
      <c r="D210" t="s">
        <v>37</v>
      </c>
      <c r="E210" t="s">
        <v>39</v>
      </c>
      <c r="F210">
        <v>3</v>
      </c>
      <c r="G210" s="4">
        <v>12000</v>
      </c>
      <c r="H210" s="4" t="str">
        <f>IF(Table2[[#This Row],[Price]]=0,"No","Yes")</f>
        <v>Yes</v>
      </c>
      <c r="I210" t="s">
        <v>43</v>
      </c>
      <c r="J210" t="s">
        <v>51</v>
      </c>
      <c r="K210">
        <v>36000</v>
      </c>
      <c r="L210">
        <v>1</v>
      </c>
      <c r="M210">
        <v>2023</v>
      </c>
    </row>
    <row r="211" spans="1:13" x14ac:dyDescent="0.35">
      <c r="A211">
        <v>100210</v>
      </c>
      <c r="B211" s="1">
        <v>44935.708333333343</v>
      </c>
      <c r="C211" t="s">
        <v>29</v>
      </c>
      <c r="D211" t="s">
        <v>37</v>
      </c>
      <c r="E211" t="s">
        <v>39</v>
      </c>
      <c r="F211">
        <v>2</v>
      </c>
      <c r="G211" s="4">
        <v>55000</v>
      </c>
      <c r="H211" s="4" t="str">
        <f>IF(Table2[[#This Row],[Price]]=0,"No","Yes")</f>
        <v>Yes</v>
      </c>
      <c r="I211" t="s">
        <v>42</v>
      </c>
      <c r="J211" t="s">
        <v>46</v>
      </c>
      <c r="K211">
        <v>110000</v>
      </c>
      <c r="L211">
        <v>1</v>
      </c>
      <c r="M211">
        <v>2023</v>
      </c>
    </row>
    <row r="212" spans="1:13" x14ac:dyDescent="0.35">
      <c r="A212">
        <v>100211</v>
      </c>
      <c r="B212" s="1">
        <v>44935.75</v>
      </c>
      <c r="C212" t="s">
        <v>16</v>
      </c>
      <c r="D212" t="s">
        <v>36</v>
      </c>
      <c r="E212" t="s">
        <v>39</v>
      </c>
      <c r="F212">
        <v>5</v>
      </c>
      <c r="G212" s="4">
        <v>22000</v>
      </c>
      <c r="H212" s="4" t="str">
        <f>IF(Table2[[#This Row],[Price]]=0,"No","Yes")</f>
        <v>Yes</v>
      </c>
      <c r="I212" t="s">
        <v>44</v>
      </c>
      <c r="J212" t="s">
        <v>45</v>
      </c>
      <c r="K212">
        <v>110000</v>
      </c>
      <c r="L212">
        <v>1</v>
      </c>
      <c r="M212">
        <v>2023</v>
      </c>
    </row>
    <row r="213" spans="1:13" x14ac:dyDescent="0.35">
      <c r="A213">
        <v>100212</v>
      </c>
      <c r="B213" s="1">
        <v>44935.791666666657</v>
      </c>
      <c r="C213" t="s">
        <v>23</v>
      </c>
      <c r="D213" t="s">
        <v>34</v>
      </c>
      <c r="E213" t="s">
        <v>40</v>
      </c>
      <c r="F213">
        <v>4</v>
      </c>
      <c r="G213" s="4">
        <v>5000</v>
      </c>
      <c r="H213" s="4" t="str">
        <f>IF(Table2[[#This Row],[Price]]=0,"No","Yes")</f>
        <v>Yes</v>
      </c>
      <c r="I213" t="s">
        <v>42</v>
      </c>
      <c r="J213" t="s">
        <v>51</v>
      </c>
      <c r="K213">
        <v>20000</v>
      </c>
      <c r="L213">
        <v>1</v>
      </c>
      <c r="M213">
        <v>2023</v>
      </c>
    </row>
    <row r="214" spans="1:13" x14ac:dyDescent="0.35">
      <c r="A214">
        <v>100213</v>
      </c>
      <c r="B214" s="1">
        <v>44935.833333333343</v>
      </c>
      <c r="C214" t="s">
        <v>15</v>
      </c>
      <c r="D214" t="s">
        <v>35</v>
      </c>
      <c r="E214" t="s">
        <v>39</v>
      </c>
      <c r="F214">
        <v>1</v>
      </c>
      <c r="G214" s="4">
        <v>35000</v>
      </c>
      <c r="H214" s="4" t="str">
        <f>IF(Table2[[#This Row],[Price]]=0,"No","Yes")</f>
        <v>Yes</v>
      </c>
      <c r="I214" t="s">
        <v>42</v>
      </c>
      <c r="J214" t="s">
        <v>45</v>
      </c>
      <c r="K214">
        <v>35000</v>
      </c>
      <c r="L214">
        <v>1</v>
      </c>
      <c r="M214">
        <v>2023</v>
      </c>
    </row>
    <row r="215" spans="1:13" x14ac:dyDescent="0.35">
      <c r="A215">
        <v>100214</v>
      </c>
      <c r="B215" s="1">
        <v>44935.875</v>
      </c>
      <c r="C215" t="s">
        <v>29</v>
      </c>
      <c r="D215" t="s">
        <v>33</v>
      </c>
      <c r="E215" t="s">
        <v>39</v>
      </c>
      <c r="F215">
        <v>1</v>
      </c>
      <c r="G215" s="4">
        <v>45000</v>
      </c>
      <c r="H215" s="4" t="str">
        <f>IF(Table2[[#This Row],[Price]]=0,"No","Yes")</f>
        <v>Yes</v>
      </c>
      <c r="I215" t="s">
        <v>41</v>
      </c>
      <c r="J215" t="s">
        <v>45</v>
      </c>
      <c r="K215">
        <v>45000</v>
      </c>
      <c r="L215">
        <v>1</v>
      </c>
      <c r="M215">
        <v>2023</v>
      </c>
    </row>
    <row r="216" spans="1:13" x14ac:dyDescent="0.35">
      <c r="A216">
        <v>100215</v>
      </c>
      <c r="B216" s="1">
        <v>44935.916666666657</v>
      </c>
      <c r="C216" t="s">
        <v>25</v>
      </c>
      <c r="D216" t="s">
        <v>33</v>
      </c>
      <c r="E216" t="s">
        <v>39</v>
      </c>
      <c r="F216">
        <v>4</v>
      </c>
      <c r="G216" s="4">
        <v>12000</v>
      </c>
      <c r="H216" s="4" t="str">
        <f>IF(Table2[[#This Row],[Price]]=0,"No","Yes")</f>
        <v>Yes</v>
      </c>
      <c r="I216" t="s">
        <v>44</v>
      </c>
      <c r="J216" t="s">
        <v>51</v>
      </c>
      <c r="K216">
        <v>48000</v>
      </c>
      <c r="L216">
        <v>1</v>
      </c>
      <c r="M216">
        <v>2023</v>
      </c>
    </row>
    <row r="217" spans="1:13" x14ac:dyDescent="0.35">
      <c r="A217">
        <v>100216</v>
      </c>
      <c r="B217" s="1">
        <v>44935.958333333343</v>
      </c>
      <c r="C217" t="s">
        <v>19</v>
      </c>
      <c r="D217" t="s">
        <v>38</v>
      </c>
      <c r="E217" t="s">
        <v>39</v>
      </c>
      <c r="F217">
        <v>1</v>
      </c>
      <c r="G217" s="4">
        <v>35000</v>
      </c>
      <c r="H217" s="4" t="str">
        <f>IF(Table2[[#This Row],[Price]]=0,"No","Yes")</f>
        <v>Yes</v>
      </c>
      <c r="I217" t="s">
        <v>42</v>
      </c>
      <c r="J217" t="s">
        <v>47</v>
      </c>
      <c r="K217">
        <v>35000</v>
      </c>
      <c r="L217">
        <v>1</v>
      </c>
      <c r="M217">
        <v>2023</v>
      </c>
    </row>
    <row r="218" spans="1:13" x14ac:dyDescent="0.35">
      <c r="A218">
        <v>100217</v>
      </c>
      <c r="B218" s="1">
        <v>44936</v>
      </c>
      <c r="C218" t="s">
        <v>12</v>
      </c>
      <c r="D218" t="s">
        <v>34</v>
      </c>
      <c r="E218" t="s">
        <v>39</v>
      </c>
      <c r="F218">
        <v>4</v>
      </c>
      <c r="G218" s="4">
        <v>18000</v>
      </c>
      <c r="H218" s="4" t="str">
        <f>IF(Table2[[#This Row],[Price]]=0,"No","Yes")</f>
        <v>Yes</v>
      </c>
      <c r="I218" t="s">
        <v>41</v>
      </c>
      <c r="J218" t="s">
        <v>46</v>
      </c>
      <c r="K218">
        <v>72000</v>
      </c>
      <c r="L218">
        <v>1</v>
      </c>
      <c r="M218">
        <v>2023</v>
      </c>
    </row>
    <row r="219" spans="1:13" x14ac:dyDescent="0.35">
      <c r="A219">
        <v>100218</v>
      </c>
      <c r="B219" s="1">
        <v>44936.041666666657</v>
      </c>
      <c r="C219" t="s">
        <v>26</v>
      </c>
      <c r="D219" t="s">
        <v>36</v>
      </c>
      <c r="E219" t="s">
        <v>40</v>
      </c>
      <c r="F219">
        <v>1</v>
      </c>
      <c r="G219" s="4">
        <v>5000</v>
      </c>
      <c r="H219" s="4" t="str">
        <f>IF(Table2[[#This Row],[Price]]=0,"No","Yes")</f>
        <v>Yes</v>
      </c>
      <c r="I219" t="s">
        <v>44</v>
      </c>
      <c r="J219" t="s">
        <v>51</v>
      </c>
      <c r="K219">
        <v>5000</v>
      </c>
      <c r="L219">
        <v>1</v>
      </c>
      <c r="M219">
        <v>2023</v>
      </c>
    </row>
    <row r="220" spans="1:13" x14ac:dyDescent="0.35">
      <c r="A220">
        <v>100219</v>
      </c>
      <c r="B220" s="1">
        <v>44936.083333333343</v>
      </c>
      <c r="C220" t="s">
        <v>26</v>
      </c>
      <c r="D220" t="s">
        <v>34</v>
      </c>
      <c r="E220" t="s">
        <v>39</v>
      </c>
      <c r="F220">
        <v>5</v>
      </c>
      <c r="G220" s="4">
        <v>65000</v>
      </c>
      <c r="H220" s="4" t="str">
        <f>IF(Table2[[#This Row],[Price]]=0,"No","Yes")</f>
        <v>Yes</v>
      </c>
      <c r="I220" t="s">
        <v>42</v>
      </c>
      <c r="J220" t="s">
        <v>51</v>
      </c>
      <c r="K220">
        <v>325000</v>
      </c>
      <c r="L220">
        <v>1</v>
      </c>
      <c r="M220">
        <v>2023</v>
      </c>
    </row>
    <row r="221" spans="1:13" x14ac:dyDescent="0.35">
      <c r="A221">
        <v>100220</v>
      </c>
      <c r="B221" s="1">
        <v>44936.125</v>
      </c>
      <c r="C221" t="s">
        <v>13</v>
      </c>
      <c r="D221" t="s">
        <v>37</v>
      </c>
      <c r="E221" t="s">
        <v>39</v>
      </c>
      <c r="F221">
        <v>1</v>
      </c>
      <c r="G221" s="4">
        <v>35000</v>
      </c>
      <c r="H221" s="4" t="str">
        <f>IF(Table2[[#This Row],[Price]]=0,"No","Yes")</f>
        <v>Yes</v>
      </c>
      <c r="I221" t="s">
        <v>44</v>
      </c>
      <c r="J221" t="s">
        <v>46</v>
      </c>
      <c r="K221">
        <v>35000</v>
      </c>
      <c r="L221">
        <v>1</v>
      </c>
      <c r="M221">
        <v>2023</v>
      </c>
    </row>
    <row r="222" spans="1:13" x14ac:dyDescent="0.35">
      <c r="A222">
        <v>100221</v>
      </c>
      <c r="B222" s="1">
        <v>44936.166666666657</v>
      </c>
      <c r="C222" t="s">
        <v>24</v>
      </c>
      <c r="D222" t="s">
        <v>35</v>
      </c>
      <c r="E222" t="s">
        <v>39</v>
      </c>
      <c r="F222">
        <v>1</v>
      </c>
      <c r="G222" s="4">
        <v>18000</v>
      </c>
      <c r="H222" s="4" t="str">
        <f>IF(Table2[[#This Row],[Price]]=0,"No","Yes")</f>
        <v>Yes</v>
      </c>
      <c r="I222" t="s">
        <v>42</v>
      </c>
      <c r="J222" t="s">
        <v>50</v>
      </c>
      <c r="K222">
        <v>18000</v>
      </c>
      <c r="L222">
        <v>1</v>
      </c>
      <c r="M222">
        <v>2023</v>
      </c>
    </row>
    <row r="223" spans="1:13" x14ac:dyDescent="0.35">
      <c r="A223">
        <v>100222</v>
      </c>
      <c r="B223" s="1">
        <v>44936.208333333343</v>
      </c>
      <c r="C223" t="s">
        <v>20</v>
      </c>
      <c r="D223" t="s">
        <v>33</v>
      </c>
      <c r="E223" t="s">
        <v>39</v>
      </c>
      <c r="F223">
        <v>5</v>
      </c>
      <c r="G223" s="4">
        <v>5000</v>
      </c>
      <c r="H223" s="4" t="str">
        <f>IF(Table2[[#This Row],[Price]]=0,"No","Yes")</f>
        <v>Yes</v>
      </c>
      <c r="I223" t="s">
        <v>42</v>
      </c>
      <c r="J223" t="s">
        <v>45</v>
      </c>
      <c r="K223">
        <v>25000</v>
      </c>
      <c r="L223">
        <v>1</v>
      </c>
      <c r="M223">
        <v>2023</v>
      </c>
    </row>
    <row r="224" spans="1:13" x14ac:dyDescent="0.35">
      <c r="A224">
        <v>100223</v>
      </c>
      <c r="B224" s="1">
        <v>44936.25</v>
      </c>
      <c r="C224" t="s">
        <v>23</v>
      </c>
      <c r="D224" t="s">
        <v>35</v>
      </c>
      <c r="E224" t="s">
        <v>39</v>
      </c>
      <c r="F224">
        <v>1</v>
      </c>
      <c r="G224" s="4">
        <v>45000</v>
      </c>
      <c r="H224" s="4" t="str">
        <f>IF(Table2[[#This Row],[Price]]=0,"No","Yes")</f>
        <v>Yes</v>
      </c>
      <c r="I224" t="s">
        <v>44</v>
      </c>
      <c r="J224" t="s">
        <v>51</v>
      </c>
      <c r="K224">
        <v>45000</v>
      </c>
      <c r="L224">
        <v>1</v>
      </c>
      <c r="M224">
        <v>2023</v>
      </c>
    </row>
    <row r="225" spans="1:13" x14ac:dyDescent="0.35">
      <c r="A225">
        <v>100224</v>
      </c>
      <c r="B225" s="1">
        <v>44936.291666666657</v>
      </c>
      <c r="C225" t="s">
        <v>26</v>
      </c>
      <c r="D225" t="s">
        <v>35</v>
      </c>
      <c r="E225" t="s">
        <v>39</v>
      </c>
      <c r="F225">
        <v>1</v>
      </c>
      <c r="G225" s="4">
        <v>35000</v>
      </c>
      <c r="H225" s="4" t="str">
        <f>IF(Table2[[#This Row],[Price]]=0,"No","Yes")</f>
        <v>Yes</v>
      </c>
      <c r="I225" t="s">
        <v>42</v>
      </c>
      <c r="J225" t="s">
        <v>51</v>
      </c>
      <c r="K225">
        <v>35000</v>
      </c>
      <c r="L225">
        <v>1</v>
      </c>
      <c r="M225">
        <v>2023</v>
      </c>
    </row>
    <row r="226" spans="1:13" x14ac:dyDescent="0.35">
      <c r="A226">
        <v>100225</v>
      </c>
      <c r="B226" s="1">
        <v>44936.333333333343</v>
      </c>
      <c r="C226" t="s">
        <v>21</v>
      </c>
      <c r="D226" t="s">
        <v>37</v>
      </c>
      <c r="E226" t="s">
        <v>39</v>
      </c>
      <c r="F226">
        <v>5</v>
      </c>
      <c r="G226" s="4">
        <v>2500</v>
      </c>
      <c r="H226" s="4" t="str">
        <f>IF(Table2[[#This Row],[Price]]=0,"No","Yes")</f>
        <v>Yes</v>
      </c>
      <c r="I226" t="s">
        <v>44</v>
      </c>
      <c r="J226" t="s">
        <v>45</v>
      </c>
      <c r="K226">
        <v>12500</v>
      </c>
      <c r="L226">
        <v>1</v>
      </c>
      <c r="M226">
        <v>2023</v>
      </c>
    </row>
    <row r="227" spans="1:13" x14ac:dyDescent="0.35">
      <c r="A227">
        <v>100226</v>
      </c>
      <c r="B227" s="1">
        <v>44936.375</v>
      </c>
      <c r="C227" t="s">
        <v>27</v>
      </c>
      <c r="D227" t="s">
        <v>38</v>
      </c>
      <c r="E227" t="s">
        <v>40</v>
      </c>
      <c r="F227">
        <v>3</v>
      </c>
      <c r="G227" s="4">
        <v>12000</v>
      </c>
      <c r="H227" s="4" t="str">
        <f>IF(Table2[[#This Row],[Price]]=0,"No","Yes")</f>
        <v>Yes</v>
      </c>
      <c r="I227" t="s">
        <v>43</v>
      </c>
      <c r="J227" t="s">
        <v>50</v>
      </c>
      <c r="K227">
        <v>36000</v>
      </c>
      <c r="L227">
        <v>1</v>
      </c>
      <c r="M227">
        <v>2023</v>
      </c>
    </row>
    <row r="228" spans="1:13" x14ac:dyDescent="0.35">
      <c r="A228">
        <v>100227</v>
      </c>
      <c r="B228" s="1">
        <v>44936.416666666657</v>
      </c>
      <c r="C228" t="s">
        <v>27</v>
      </c>
      <c r="D228" t="s">
        <v>35</v>
      </c>
      <c r="E228" t="s">
        <v>40</v>
      </c>
      <c r="F228">
        <v>2</v>
      </c>
      <c r="G228" s="4">
        <v>22000</v>
      </c>
      <c r="H228" s="4" t="str">
        <f>IF(Table2[[#This Row],[Price]]=0,"No","Yes")</f>
        <v>Yes</v>
      </c>
      <c r="I228" t="s">
        <v>43</v>
      </c>
      <c r="J228" t="s">
        <v>51</v>
      </c>
      <c r="K228">
        <v>44000</v>
      </c>
      <c r="L228">
        <v>1</v>
      </c>
      <c r="M228">
        <v>2023</v>
      </c>
    </row>
    <row r="229" spans="1:13" x14ac:dyDescent="0.35">
      <c r="A229">
        <v>100228</v>
      </c>
      <c r="B229" s="1">
        <v>44936.458333333343</v>
      </c>
      <c r="C229" t="s">
        <v>28</v>
      </c>
      <c r="D229" t="s">
        <v>38</v>
      </c>
      <c r="E229" t="s">
        <v>39</v>
      </c>
      <c r="F229">
        <v>1</v>
      </c>
      <c r="G229" s="4">
        <v>2500</v>
      </c>
      <c r="H229" s="4" t="str">
        <f>IF(Table2[[#This Row],[Price]]=0,"No","Yes")</f>
        <v>Yes</v>
      </c>
      <c r="I229" t="s">
        <v>41</v>
      </c>
      <c r="J229" t="s">
        <v>46</v>
      </c>
      <c r="K229">
        <v>2500</v>
      </c>
      <c r="L229">
        <v>1</v>
      </c>
      <c r="M229">
        <v>2023</v>
      </c>
    </row>
    <row r="230" spans="1:13" x14ac:dyDescent="0.35">
      <c r="A230">
        <v>100229</v>
      </c>
      <c r="B230" s="1">
        <v>44936.5</v>
      </c>
      <c r="C230" t="s">
        <v>28</v>
      </c>
      <c r="D230" t="s">
        <v>37</v>
      </c>
      <c r="E230" t="s">
        <v>40</v>
      </c>
      <c r="F230">
        <v>1</v>
      </c>
      <c r="G230" s="4">
        <v>45000</v>
      </c>
      <c r="H230" s="4" t="str">
        <f>IF(Table2[[#This Row],[Price]]=0,"No","Yes")</f>
        <v>Yes</v>
      </c>
      <c r="I230" t="s">
        <v>41</v>
      </c>
      <c r="J230" t="s">
        <v>45</v>
      </c>
      <c r="K230">
        <v>45000</v>
      </c>
      <c r="L230">
        <v>1</v>
      </c>
      <c r="M230">
        <v>2023</v>
      </c>
    </row>
    <row r="231" spans="1:13" x14ac:dyDescent="0.35">
      <c r="A231">
        <v>100230</v>
      </c>
      <c r="B231" s="1">
        <v>44936.541666666657</v>
      </c>
      <c r="C231" t="s">
        <v>19</v>
      </c>
      <c r="D231" t="s">
        <v>37</v>
      </c>
      <c r="E231" t="s">
        <v>39</v>
      </c>
      <c r="F231">
        <v>2</v>
      </c>
      <c r="G231" s="4">
        <v>22000</v>
      </c>
      <c r="H231" s="4" t="str">
        <f>IF(Table2[[#This Row],[Price]]=0,"No","Yes")</f>
        <v>Yes</v>
      </c>
      <c r="I231" t="s">
        <v>42</v>
      </c>
      <c r="J231" t="s">
        <v>49</v>
      </c>
      <c r="K231">
        <v>44000</v>
      </c>
      <c r="L231">
        <v>1</v>
      </c>
      <c r="M231">
        <v>2023</v>
      </c>
    </row>
    <row r="232" spans="1:13" x14ac:dyDescent="0.35">
      <c r="A232">
        <v>100231</v>
      </c>
      <c r="B232" s="1">
        <v>44936.583333333343</v>
      </c>
      <c r="C232" t="s">
        <v>17</v>
      </c>
      <c r="D232" t="s">
        <v>32</v>
      </c>
      <c r="E232" t="s">
        <v>39</v>
      </c>
      <c r="F232">
        <v>5</v>
      </c>
      <c r="G232" s="4">
        <v>1500</v>
      </c>
      <c r="H232" s="4" t="str">
        <f>IF(Table2[[#This Row],[Price]]=0,"No","Yes")</f>
        <v>Yes</v>
      </c>
      <c r="I232" t="s">
        <v>41</v>
      </c>
      <c r="J232" t="s">
        <v>48</v>
      </c>
      <c r="K232">
        <v>7500</v>
      </c>
      <c r="L232">
        <v>1</v>
      </c>
      <c r="M232">
        <v>2023</v>
      </c>
    </row>
    <row r="233" spans="1:13" x14ac:dyDescent="0.35">
      <c r="A233">
        <v>100232</v>
      </c>
      <c r="B233" s="1">
        <v>44936.625</v>
      </c>
      <c r="C233" t="s">
        <v>26</v>
      </c>
      <c r="D233" t="s">
        <v>34</v>
      </c>
      <c r="E233" t="s">
        <v>39</v>
      </c>
      <c r="F233">
        <v>1</v>
      </c>
      <c r="G233" s="4">
        <v>5000</v>
      </c>
      <c r="H233" s="4" t="str">
        <f>IF(Table2[[#This Row],[Price]]=0,"No","Yes")</f>
        <v>Yes</v>
      </c>
      <c r="I233" t="s">
        <v>42</v>
      </c>
      <c r="J233" t="s">
        <v>50</v>
      </c>
      <c r="K233">
        <v>5000</v>
      </c>
      <c r="L233">
        <v>1</v>
      </c>
      <c r="M233">
        <v>2023</v>
      </c>
    </row>
    <row r="234" spans="1:13" x14ac:dyDescent="0.35">
      <c r="A234">
        <v>100233</v>
      </c>
      <c r="B234" s="1">
        <v>44936.666666666657</v>
      </c>
      <c r="C234" t="s">
        <v>26</v>
      </c>
      <c r="D234" t="s">
        <v>33</v>
      </c>
      <c r="E234" t="s">
        <v>39</v>
      </c>
      <c r="F234">
        <v>1</v>
      </c>
      <c r="G234" s="4">
        <v>55000</v>
      </c>
      <c r="H234" s="4" t="str">
        <f>IF(Table2[[#This Row],[Price]]=0,"No","Yes")</f>
        <v>Yes</v>
      </c>
      <c r="I234" t="s">
        <v>43</v>
      </c>
      <c r="J234" t="s">
        <v>46</v>
      </c>
      <c r="K234">
        <v>55000</v>
      </c>
      <c r="L234">
        <v>1</v>
      </c>
      <c r="M234">
        <v>2023</v>
      </c>
    </row>
    <row r="235" spans="1:13" x14ac:dyDescent="0.35">
      <c r="A235">
        <v>100234</v>
      </c>
      <c r="B235" s="1">
        <v>44936.708333333343</v>
      </c>
      <c r="C235" t="s">
        <v>19</v>
      </c>
      <c r="D235" t="s">
        <v>33</v>
      </c>
      <c r="E235" t="s">
        <v>40</v>
      </c>
      <c r="F235">
        <v>2</v>
      </c>
      <c r="G235" s="4">
        <v>55000</v>
      </c>
      <c r="H235" s="4" t="str">
        <f>IF(Table2[[#This Row],[Price]]=0,"No","Yes")</f>
        <v>Yes</v>
      </c>
      <c r="I235" t="s">
        <v>42</v>
      </c>
      <c r="J235" t="s">
        <v>45</v>
      </c>
      <c r="K235">
        <v>110000</v>
      </c>
      <c r="L235">
        <v>1</v>
      </c>
      <c r="M235">
        <v>2023</v>
      </c>
    </row>
    <row r="236" spans="1:13" x14ac:dyDescent="0.35">
      <c r="A236">
        <v>100235</v>
      </c>
      <c r="B236" s="1">
        <v>44936.75</v>
      </c>
      <c r="C236" t="s">
        <v>13</v>
      </c>
      <c r="D236" t="s">
        <v>36</v>
      </c>
      <c r="E236" t="s">
        <v>39</v>
      </c>
      <c r="F236">
        <v>2</v>
      </c>
      <c r="G236" s="4">
        <v>65000</v>
      </c>
      <c r="H236" s="4" t="str">
        <f>IF(Table2[[#This Row],[Price]]=0,"No","Yes")</f>
        <v>Yes</v>
      </c>
      <c r="I236" t="s">
        <v>44</v>
      </c>
      <c r="J236" t="s">
        <v>50</v>
      </c>
      <c r="K236">
        <v>130000</v>
      </c>
      <c r="L236">
        <v>1</v>
      </c>
      <c r="M236">
        <v>2023</v>
      </c>
    </row>
    <row r="237" spans="1:13" x14ac:dyDescent="0.35">
      <c r="A237">
        <v>100236</v>
      </c>
      <c r="B237" s="1">
        <v>44936.791666666657</v>
      </c>
      <c r="C237" t="s">
        <v>23</v>
      </c>
      <c r="D237" t="s">
        <v>33</v>
      </c>
      <c r="E237" t="s">
        <v>39</v>
      </c>
      <c r="F237">
        <v>1</v>
      </c>
      <c r="G237" s="4">
        <v>18000</v>
      </c>
      <c r="H237" s="4" t="str">
        <f>IF(Table2[[#This Row],[Price]]=0,"No","Yes")</f>
        <v>Yes</v>
      </c>
      <c r="I237" t="s">
        <v>42</v>
      </c>
      <c r="J237" t="s">
        <v>49</v>
      </c>
      <c r="K237">
        <v>18000</v>
      </c>
      <c r="L237">
        <v>1</v>
      </c>
      <c r="M237">
        <v>2023</v>
      </c>
    </row>
    <row r="238" spans="1:13" x14ac:dyDescent="0.35">
      <c r="A238">
        <v>100237</v>
      </c>
      <c r="B238" s="1">
        <v>44936.833333333343</v>
      </c>
      <c r="C238" t="s">
        <v>13</v>
      </c>
      <c r="D238" t="s">
        <v>38</v>
      </c>
      <c r="E238" t="s">
        <v>40</v>
      </c>
      <c r="F238">
        <v>5</v>
      </c>
      <c r="G238" s="4">
        <v>18000</v>
      </c>
      <c r="H238" s="4" t="str">
        <f>IF(Table2[[#This Row],[Price]]=0,"No","Yes")</f>
        <v>Yes</v>
      </c>
      <c r="I238" t="s">
        <v>44</v>
      </c>
      <c r="J238" t="s">
        <v>49</v>
      </c>
      <c r="K238">
        <v>90000</v>
      </c>
      <c r="L238">
        <v>1</v>
      </c>
      <c r="M238">
        <v>2023</v>
      </c>
    </row>
    <row r="239" spans="1:13" x14ac:dyDescent="0.35">
      <c r="A239">
        <v>100238</v>
      </c>
      <c r="B239" s="1">
        <v>44936.875</v>
      </c>
      <c r="C239" t="s">
        <v>15</v>
      </c>
      <c r="D239" t="s">
        <v>33</v>
      </c>
      <c r="E239" t="s">
        <v>39</v>
      </c>
      <c r="F239">
        <v>2</v>
      </c>
      <c r="G239" s="4">
        <v>35000</v>
      </c>
      <c r="H239" s="4" t="str">
        <f>IF(Table2[[#This Row],[Price]]=0,"No","Yes")</f>
        <v>Yes</v>
      </c>
      <c r="I239" t="s">
        <v>42</v>
      </c>
      <c r="J239" t="s">
        <v>50</v>
      </c>
      <c r="K239">
        <v>70000</v>
      </c>
      <c r="L239">
        <v>1</v>
      </c>
      <c r="M239">
        <v>2023</v>
      </c>
    </row>
    <row r="240" spans="1:13" x14ac:dyDescent="0.35">
      <c r="A240">
        <v>100239</v>
      </c>
      <c r="B240" s="1">
        <v>44936.916666666657</v>
      </c>
      <c r="C240" t="s">
        <v>24</v>
      </c>
      <c r="D240" t="s">
        <v>38</v>
      </c>
      <c r="E240" t="s">
        <v>39</v>
      </c>
      <c r="F240">
        <v>2</v>
      </c>
      <c r="G240" s="4">
        <v>12000</v>
      </c>
      <c r="H240" s="4" t="str">
        <f>IF(Table2[[#This Row],[Price]]=0,"No","Yes")</f>
        <v>Yes</v>
      </c>
      <c r="I240" t="s">
        <v>42</v>
      </c>
      <c r="J240" t="s">
        <v>50</v>
      </c>
      <c r="K240">
        <v>24000</v>
      </c>
      <c r="L240">
        <v>1</v>
      </c>
      <c r="M240">
        <v>2023</v>
      </c>
    </row>
    <row r="241" spans="1:13" x14ac:dyDescent="0.35">
      <c r="A241">
        <v>100240</v>
      </c>
      <c r="B241" s="1">
        <v>44936.958333333343</v>
      </c>
      <c r="C241" t="s">
        <v>16</v>
      </c>
      <c r="D241" t="s">
        <v>33</v>
      </c>
      <c r="E241" t="s">
        <v>39</v>
      </c>
      <c r="F241">
        <v>2</v>
      </c>
      <c r="G241" s="4">
        <v>45000</v>
      </c>
      <c r="H241" s="4" t="str">
        <f>IF(Table2[[#This Row],[Price]]=0,"No","Yes")</f>
        <v>Yes</v>
      </c>
      <c r="I241" t="s">
        <v>42</v>
      </c>
      <c r="J241" t="s">
        <v>48</v>
      </c>
      <c r="K241">
        <v>90000</v>
      </c>
      <c r="L241">
        <v>1</v>
      </c>
      <c r="M241">
        <v>2023</v>
      </c>
    </row>
    <row r="242" spans="1:13" x14ac:dyDescent="0.35">
      <c r="A242">
        <v>100241</v>
      </c>
      <c r="B242" s="1">
        <v>44937</v>
      </c>
      <c r="C242" t="s">
        <v>18</v>
      </c>
      <c r="D242" t="s">
        <v>36</v>
      </c>
      <c r="E242" t="s">
        <v>39</v>
      </c>
      <c r="F242">
        <v>1</v>
      </c>
      <c r="G242" s="4">
        <v>45000</v>
      </c>
      <c r="H242" s="4" t="str">
        <f>IF(Table2[[#This Row],[Price]]=0,"No","Yes")</f>
        <v>Yes</v>
      </c>
      <c r="I242" t="s">
        <v>43</v>
      </c>
      <c r="J242" t="s">
        <v>47</v>
      </c>
      <c r="K242">
        <v>45000</v>
      </c>
      <c r="L242">
        <v>1</v>
      </c>
      <c r="M242">
        <v>2023</v>
      </c>
    </row>
    <row r="243" spans="1:13" hidden="1" x14ac:dyDescent="0.35">
      <c r="A243">
        <v>100242</v>
      </c>
      <c r="B243" s="1">
        <v>44937.041666666657</v>
      </c>
      <c r="C243" t="s">
        <v>22</v>
      </c>
      <c r="D243" t="s">
        <v>34</v>
      </c>
      <c r="E243" t="s">
        <v>40</v>
      </c>
      <c r="F243">
        <v>4</v>
      </c>
      <c r="H243" s="4" t="str">
        <f>IF(Table2[[#This Row],[Price]]=0,"No","Yes")</f>
        <v>No</v>
      </c>
      <c r="I243" t="s">
        <v>41</v>
      </c>
      <c r="J243" t="s">
        <v>49</v>
      </c>
      <c r="K243">
        <v>140000</v>
      </c>
      <c r="L243">
        <v>1</v>
      </c>
      <c r="M243">
        <v>2023</v>
      </c>
    </row>
    <row r="244" spans="1:13" x14ac:dyDescent="0.35">
      <c r="A244">
        <v>100243</v>
      </c>
      <c r="B244" s="1">
        <v>44937.083333333343</v>
      </c>
      <c r="C244" t="s">
        <v>16</v>
      </c>
      <c r="D244" t="s">
        <v>35</v>
      </c>
      <c r="E244" t="s">
        <v>39</v>
      </c>
      <c r="F244">
        <v>2</v>
      </c>
      <c r="G244" s="4">
        <v>65000</v>
      </c>
      <c r="H244" s="4" t="str">
        <f>IF(Table2[[#This Row],[Price]]=0,"No","Yes")</f>
        <v>Yes</v>
      </c>
      <c r="I244" t="s">
        <v>44</v>
      </c>
      <c r="J244" t="s">
        <v>48</v>
      </c>
      <c r="K244">
        <v>130000</v>
      </c>
      <c r="L244">
        <v>1</v>
      </c>
      <c r="M244">
        <v>2023</v>
      </c>
    </row>
    <row r="245" spans="1:13" x14ac:dyDescent="0.35">
      <c r="A245">
        <v>100244</v>
      </c>
      <c r="B245" s="1">
        <v>44937.125</v>
      </c>
      <c r="C245" t="s">
        <v>13</v>
      </c>
      <c r="D245" t="s">
        <v>34</v>
      </c>
      <c r="E245" t="s">
        <v>39</v>
      </c>
      <c r="F245">
        <v>2</v>
      </c>
      <c r="G245" s="4">
        <v>12000</v>
      </c>
      <c r="H245" s="4" t="str">
        <f>IF(Table2[[#This Row],[Price]]=0,"No","Yes")</f>
        <v>Yes</v>
      </c>
      <c r="I245" t="s">
        <v>44</v>
      </c>
      <c r="J245" t="s">
        <v>50</v>
      </c>
      <c r="K245">
        <v>24000</v>
      </c>
      <c r="L245">
        <v>1</v>
      </c>
      <c r="M245">
        <v>2023</v>
      </c>
    </row>
    <row r="246" spans="1:13" x14ac:dyDescent="0.35">
      <c r="A246">
        <v>100245</v>
      </c>
      <c r="B246" s="1">
        <v>44937.166666666657</v>
      </c>
      <c r="C246" t="s">
        <v>19</v>
      </c>
      <c r="D246" t="s">
        <v>38</v>
      </c>
      <c r="E246" t="s">
        <v>40</v>
      </c>
      <c r="F246">
        <v>1</v>
      </c>
      <c r="G246" s="4">
        <v>1500</v>
      </c>
      <c r="H246" s="4" t="str">
        <f>IF(Table2[[#This Row],[Price]]=0,"No","Yes")</f>
        <v>Yes</v>
      </c>
      <c r="I246" t="s">
        <v>44</v>
      </c>
      <c r="J246" t="s">
        <v>48</v>
      </c>
      <c r="K246">
        <v>1500</v>
      </c>
      <c r="L246">
        <v>1</v>
      </c>
      <c r="M246">
        <v>2023</v>
      </c>
    </row>
    <row r="247" spans="1:13" x14ac:dyDescent="0.35">
      <c r="A247">
        <v>100246</v>
      </c>
      <c r="B247" s="1">
        <v>44937.208333333343</v>
      </c>
      <c r="C247" t="s">
        <v>26</v>
      </c>
      <c r="D247" t="s">
        <v>37</v>
      </c>
      <c r="E247" t="s">
        <v>39</v>
      </c>
      <c r="F247">
        <v>1</v>
      </c>
      <c r="G247" s="4">
        <v>5000</v>
      </c>
      <c r="H247" s="4" t="str">
        <f>IF(Table2[[#This Row],[Price]]=0,"No","Yes")</f>
        <v>Yes</v>
      </c>
      <c r="I247" t="s">
        <v>42</v>
      </c>
      <c r="J247" t="s">
        <v>45</v>
      </c>
      <c r="K247">
        <v>5000</v>
      </c>
      <c r="L247">
        <v>1</v>
      </c>
      <c r="M247">
        <v>2023</v>
      </c>
    </row>
    <row r="248" spans="1:13" x14ac:dyDescent="0.35">
      <c r="A248">
        <v>100247</v>
      </c>
      <c r="B248" s="1">
        <v>44937.25</v>
      </c>
      <c r="C248" t="s">
        <v>19</v>
      </c>
      <c r="D248" t="s">
        <v>35</v>
      </c>
      <c r="E248" t="s">
        <v>39</v>
      </c>
      <c r="F248">
        <v>5</v>
      </c>
      <c r="G248" s="4">
        <v>1500</v>
      </c>
      <c r="H248" s="4" t="str">
        <f>IF(Table2[[#This Row],[Price]]=0,"No","Yes")</f>
        <v>Yes</v>
      </c>
      <c r="I248" t="s">
        <v>42</v>
      </c>
      <c r="J248" t="s">
        <v>50</v>
      </c>
      <c r="K248">
        <v>7500</v>
      </c>
      <c r="L248">
        <v>1</v>
      </c>
      <c r="M248">
        <v>2023</v>
      </c>
    </row>
    <row r="249" spans="1:13" x14ac:dyDescent="0.35">
      <c r="A249">
        <v>100248</v>
      </c>
      <c r="B249" s="1">
        <v>44937.291666666657</v>
      </c>
      <c r="C249" t="s">
        <v>29</v>
      </c>
      <c r="D249" t="s">
        <v>32</v>
      </c>
      <c r="E249" t="s">
        <v>39</v>
      </c>
      <c r="F249">
        <v>3</v>
      </c>
      <c r="G249" s="4">
        <v>35000</v>
      </c>
      <c r="H249" s="4" t="str">
        <f>IF(Table2[[#This Row],[Price]]=0,"No","Yes")</f>
        <v>Yes</v>
      </c>
      <c r="I249" t="s">
        <v>42</v>
      </c>
      <c r="J249" t="s">
        <v>51</v>
      </c>
      <c r="K249">
        <v>105000</v>
      </c>
      <c r="L249">
        <v>1</v>
      </c>
      <c r="M249">
        <v>2023</v>
      </c>
    </row>
    <row r="250" spans="1:13" x14ac:dyDescent="0.35">
      <c r="A250">
        <v>100249</v>
      </c>
      <c r="B250" s="1">
        <v>44937.333333333343</v>
      </c>
      <c r="C250" t="s">
        <v>30</v>
      </c>
      <c r="D250" t="s">
        <v>36</v>
      </c>
      <c r="E250" t="s">
        <v>39</v>
      </c>
      <c r="F250">
        <v>5</v>
      </c>
      <c r="G250" s="4">
        <v>1500</v>
      </c>
      <c r="H250" s="4" t="str">
        <f>IF(Table2[[#This Row],[Price]]=0,"No","Yes")</f>
        <v>Yes</v>
      </c>
      <c r="I250" t="s">
        <v>43</v>
      </c>
      <c r="J250" t="s">
        <v>46</v>
      </c>
      <c r="K250">
        <v>7500</v>
      </c>
      <c r="L250">
        <v>1</v>
      </c>
      <c r="M250">
        <v>2023</v>
      </c>
    </row>
    <row r="251" spans="1:13" x14ac:dyDescent="0.35">
      <c r="A251">
        <v>100250</v>
      </c>
      <c r="B251" s="1">
        <v>44937.375</v>
      </c>
      <c r="C251" t="s">
        <v>29</v>
      </c>
      <c r="D251" t="s">
        <v>34</v>
      </c>
      <c r="E251" t="s">
        <v>39</v>
      </c>
      <c r="F251">
        <v>3</v>
      </c>
      <c r="G251" s="4">
        <v>45000</v>
      </c>
      <c r="H251" s="4" t="str">
        <f>IF(Table2[[#This Row],[Price]]=0,"No","Yes")</f>
        <v>Yes</v>
      </c>
      <c r="I251" t="s">
        <v>42</v>
      </c>
      <c r="J251" t="s">
        <v>46</v>
      </c>
      <c r="K251">
        <v>135000</v>
      </c>
      <c r="L251">
        <v>1</v>
      </c>
      <c r="M251">
        <v>2023</v>
      </c>
    </row>
    <row r="252" spans="1:13" x14ac:dyDescent="0.35">
      <c r="A252">
        <v>100251</v>
      </c>
      <c r="B252" s="1">
        <v>44937.416666666657</v>
      </c>
      <c r="C252" t="s">
        <v>20</v>
      </c>
      <c r="D252" t="s">
        <v>35</v>
      </c>
      <c r="E252" t="s">
        <v>39</v>
      </c>
      <c r="F252">
        <v>4</v>
      </c>
      <c r="G252" s="4">
        <v>18000</v>
      </c>
      <c r="H252" s="4" t="str">
        <f>IF(Table2[[#This Row],[Price]]=0,"No","Yes")</f>
        <v>Yes</v>
      </c>
      <c r="I252" t="s">
        <v>44</v>
      </c>
      <c r="J252" t="s">
        <v>48</v>
      </c>
      <c r="K252">
        <v>72000</v>
      </c>
      <c r="L252">
        <v>1</v>
      </c>
      <c r="M252">
        <v>2023</v>
      </c>
    </row>
    <row r="253" spans="1:13" x14ac:dyDescent="0.35">
      <c r="A253">
        <v>100252</v>
      </c>
      <c r="B253" s="1">
        <v>44937.458333333343</v>
      </c>
      <c r="C253" t="s">
        <v>19</v>
      </c>
      <c r="D253" t="s">
        <v>36</v>
      </c>
      <c r="E253" t="s">
        <v>39</v>
      </c>
      <c r="F253">
        <v>1</v>
      </c>
      <c r="G253" s="4">
        <v>18000</v>
      </c>
      <c r="H253" s="4" t="str">
        <f>IF(Table2[[#This Row],[Price]]=0,"No","Yes")</f>
        <v>Yes</v>
      </c>
      <c r="I253" t="s">
        <v>42</v>
      </c>
      <c r="J253" t="s">
        <v>48</v>
      </c>
      <c r="K253">
        <v>18000</v>
      </c>
      <c r="L253">
        <v>1</v>
      </c>
      <c r="M253">
        <v>2023</v>
      </c>
    </row>
    <row r="254" spans="1:13" x14ac:dyDescent="0.35">
      <c r="A254">
        <v>100253</v>
      </c>
      <c r="B254" s="1">
        <v>44937.5</v>
      </c>
      <c r="C254" t="s">
        <v>26</v>
      </c>
      <c r="D254" t="s">
        <v>34</v>
      </c>
      <c r="E254" t="s">
        <v>39</v>
      </c>
      <c r="F254">
        <v>4</v>
      </c>
      <c r="G254" s="4">
        <v>1500</v>
      </c>
      <c r="H254" s="4" t="str">
        <f>IF(Table2[[#This Row],[Price]]=0,"No","Yes")</f>
        <v>Yes</v>
      </c>
      <c r="I254" t="s">
        <v>41</v>
      </c>
      <c r="J254" t="s">
        <v>50</v>
      </c>
      <c r="K254">
        <v>6000</v>
      </c>
      <c r="L254">
        <v>1</v>
      </c>
      <c r="M254">
        <v>2023</v>
      </c>
    </row>
    <row r="255" spans="1:13" x14ac:dyDescent="0.35">
      <c r="A255">
        <v>100254</v>
      </c>
      <c r="B255" s="1">
        <v>44937.541666666657</v>
      </c>
      <c r="C255" t="s">
        <v>28</v>
      </c>
      <c r="D255" t="s">
        <v>38</v>
      </c>
      <c r="E255" t="s">
        <v>40</v>
      </c>
      <c r="F255">
        <v>5</v>
      </c>
      <c r="G255" s="4">
        <v>1500</v>
      </c>
      <c r="H255" s="4" t="str">
        <f>IF(Table2[[#This Row],[Price]]=0,"No","Yes")</f>
        <v>Yes</v>
      </c>
      <c r="I255" t="s">
        <v>43</v>
      </c>
      <c r="J255" t="s">
        <v>46</v>
      </c>
      <c r="K255">
        <v>7500</v>
      </c>
      <c r="L255">
        <v>1</v>
      </c>
      <c r="M255">
        <v>2023</v>
      </c>
    </row>
    <row r="256" spans="1:13" x14ac:dyDescent="0.35">
      <c r="A256">
        <v>100255</v>
      </c>
      <c r="B256" s="1">
        <v>44937.583333333343</v>
      </c>
      <c r="C256" t="s">
        <v>18</v>
      </c>
      <c r="D256" t="s">
        <v>38</v>
      </c>
      <c r="E256" t="s">
        <v>39</v>
      </c>
      <c r="F256">
        <v>1</v>
      </c>
      <c r="G256" s="4">
        <v>2500</v>
      </c>
      <c r="H256" s="4" t="str">
        <f>IF(Table2[[#This Row],[Price]]=0,"No","Yes")</f>
        <v>Yes</v>
      </c>
      <c r="I256" t="s">
        <v>41</v>
      </c>
      <c r="J256" t="s">
        <v>46</v>
      </c>
      <c r="K256">
        <v>2500</v>
      </c>
      <c r="L256">
        <v>1</v>
      </c>
      <c r="M256">
        <v>2023</v>
      </c>
    </row>
    <row r="257" spans="1:13" x14ac:dyDescent="0.35">
      <c r="A257">
        <v>100256</v>
      </c>
      <c r="B257" s="1">
        <v>44937.625</v>
      </c>
      <c r="C257" t="s">
        <v>23</v>
      </c>
      <c r="D257" t="s">
        <v>37</v>
      </c>
      <c r="E257" t="s">
        <v>40</v>
      </c>
      <c r="F257">
        <v>4</v>
      </c>
      <c r="G257" s="4">
        <v>5000</v>
      </c>
      <c r="H257" s="4" t="str">
        <f>IF(Table2[[#This Row],[Price]]=0,"No","Yes")</f>
        <v>Yes</v>
      </c>
      <c r="I257" t="s">
        <v>41</v>
      </c>
      <c r="J257" t="s">
        <v>50</v>
      </c>
      <c r="K257">
        <v>20000</v>
      </c>
      <c r="L257">
        <v>1</v>
      </c>
      <c r="M257">
        <v>2023</v>
      </c>
    </row>
    <row r="258" spans="1:13" x14ac:dyDescent="0.35">
      <c r="A258">
        <v>100257</v>
      </c>
      <c r="B258" s="1">
        <v>44937.666666666657</v>
      </c>
      <c r="C258" t="s">
        <v>18</v>
      </c>
      <c r="D258" t="s">
        <v>38</v>
      </c>
      <c r="E258" t="s">
        <v>39</v>
      </c>
      <c r="F258">
        <v>4</v>
      </c>
      <c r="G258" s="4">
        <v>1500</v>
      </c>
      <c r="H258" s="4" t="str">
        <f>IF(Table2[[#This Row],[Price]]=0,"No","Yes")</f>
        <v>Yes</v>
      </c>
      <c r="I258" t="s">
        <v>43</v>
      </c>
      <c r="J258" t="s">
        <v>51</v>
      </c>
      <c r="K258">
        <v>6000</v>
      </c>
      <c r="L258">
        <v>1</v>
      </c>
      <c r="M258">
        <v>2023</v>
      </c>
    </row>
    <row r="259" spans="1:13" x14ac:dyDescent="0.35">
      <c r="A259">
        <v>100258</v>
      </c>
      <c r="B259" s="1">
        <v>44937.708333333343</v>
      </c>
      <c r="C259" t="s">
        <v>23</v>
      </c>
      <c r="D259" t="s">
        <v>32</v>
      </c>
      <c r="E259" t="s">
        <v>39</v>
      </c>
      <c r="F259">
        <v>4</v>
      </c>
      <c r="G259" s="4">
        <v>1500</v>
      </c>
      <c r="H259" s="4" t="str">
        <f>IF(Table2[[#This Row],[Price]]=0,"No","Yes")</f>
        <v>Yes</v>
      </c>
      <c r="I259" t="s">
        <v>43</v>
      </c>
      <c r="J259" t="s">
        <v>46</v>
      </c>
      <c r="K259">
        <v>6000</v>
      </c>
      <c r="L259">
        <v>1</v>
      </c>
      <c r="M259">
        <v>2023</v>
      </c>
    </row>
    <row r="260" spans="1:13" x14ac:dyDescent="0.35">
      <c r="A260">
        <v>100259</v>
      </c>
      <c r="B260" s="1">
        <v>44937.75</v>
      </c>
      <c r="C260" t="s">
        <v>30</v>
      </c>
      <c r="D260" t="s">
        <v>33</v>
      </c>
      <c r="E260" t="s">
        <v>39</v>
      </c>
      <c r="F260">
        <v>4</v>
      </c>
      <c r="G260" s="4">
        <v>1500</v>
      </c>
      <c r="H260" s="4" t="str">
        <f>IF(Table2[[#This Row],[Price]]=0,"No","Yes")</f>
        <v>Yes</v>
      </c>
      <c r="I260" t="s">
        <v>44</v>
      </c>
      <c r="J260" t="s">
        <v>46</v>
      </c>
      <c r="K260">
        <v>6000</v>
      </c>
      <c r="L260">
        <v>1</v>
      </c>
      <c r="M260">
        <v>2023</v>
      </c>
    </row>
    <row r="261" spans="1:13" x14ac:dyDescent="0.35">
      <c r="A261">
        <v>100260</v>
      </c>
      <c r="B261" s="1">
        <v>44937.791666666657</v>
      </c>
      <c r="C261" t="s">
        <v>26</v>
      </c>
      <c r="D261" t="s">
        <v>38</v>
      </c>
      <c r="E261" t="s">
        <v>40</v>
      </c>
      <c r="F261">
        <v>1</v>
      </c>
      <c r="G261" s="4">
        <v>2500</v>
      </c>
      <c r="H261" s="4" t="str">
        <f>IF(Table2[[#This Row],[Price]]=0,"No","Yes")</f>
        <v>Yes</v>
      </c>
      <c r="I261" t="s">
        <v>43</v>
      </c>
      <c r="J261" t="s">
        <v>50</v>
      </c>
      <c r="K261">
        <v>2500</v>
      </c>
      <c r="L261">
        <v>1</v>
      </c>
      <c r="M261">
        <v>2023</v>
      </c>
    </row>
    <row r="262" spans="1:13" x14ac:dyDescent="0.35">
      <c r="A262">
        <v>100261</v>
      </c>
      <c r="B262" s="1">
        <v>44937.833333333343</v>
      </c>
      <c r="C262" t="s">
        <v>13</v>
      </c>
      <c r="D262" t="s">
        <v>38</v>
      </c>
      <c r="E262" t="s">
        <v>39</v>
      </c>
      <c r="F262">
        <v>2</v>
      </c>
      <c r="G262" s="4">
        <v>45000</v>
      </c>
      <c r="H262" s="4" t="str">
        <f>IF(Table2[[#This Row],[Price]]=0,"No","Yes")</f>
        <v>Yes</v>
      </c>
      <c r="I262" t="s">
        <v>42</v>
      </c>
      <c r="J262" t="s">
        <v>50</v>
      </c>
      <c r="K262">
        <v>90000</v>
      </c>
      <c r="L262">
        <v>1</v>
      </c>
      <c r="M262">
        <v>2023</v>
      </c>
    </row>
    <row r="263" spans="1:13" x14ac:dyDescent="0.35">
      <c r="A263">
        <v>100262</v>
      </c>
      <c r="B263" s="1">
        <v>44937.875</v>
      </c>
      <c r="C263" t="s">
        <v>16</v>
      </c>
      <c r="D263" t="s">
        <v>33</v>
      </c>
      <c r="E263" t="s">
        <v>39</v>
      </c>
      <c r="F263">
        <v>2</v>
      </c>
      <c r="G263" s="4">
        <v>1500</v>
      </c>
      <c r="H263" s="4" t="str">
        <f>IF(Table2[[#This Row],[Price]]=0,"No","Yes")</f>
        <v>Yes</v>
      </c>
      <c r="I263" t="s">
        <v>42</v>
      </c>
      <c r="J263" t="s">
        <v>47</v>
      </c>
      <c r="K263">
        <v>3000</v>
      </c>
      <c r="L263">
        <v>1</v>
      </c>
      <c r="M263">
        <v>2023</v>
      </c>
    </row>
    <row r="264" spans="1:13" x14ac:dyDescent="0.35">
      <c r="A264">
        <v>100263</v>
      </c>
      <c r="B264" s="1">
        <v>44937.916666666657</v>
      </c>
      <c r="C264" t="s">
        <v>12</v>
      </c>
      <c r="D264" t="s">
        <v>38</v>
      </c>
      <c r="E264" t="s">
        <v>39</v>
      </c>
      <c r="F264">
        <v>3</v>
      </c>
      <c r="G264" s="4">
        <v>45000</v>
      </c>
      <c r="H264" s="4" t="str">
        <f>IF(Table2[[#This Row],[Price]]=0,"No","Yes")</f>
        <v>Yes</v>
      </c>
      <c r="I264" t="s">
        <v>43</v>
      </c>
      <c r="J264" t="s">
        <v>46</v>
      </c>
      <c r="K264">
        <v>135000</v>
      </c>
      <c r="L264">
        <v>1</v>
      </c>
      <c r="M264">
        <v>2023</v>
      </c>
    </row>
    <row r="265" spans="1:13" x14ac:dyDescent="0.35">
      <c r="A265">
        <v>100264</v>
      </c>
      <c r="B265" s="1">
        <v>44937.958333333343</v>
      </c>
      <c r="C265" t="s">
        <v>19</v>
      </c>
      <c r="D265" t="s">
        <v>35</v>
      </c>
      <c r="E265" t="s">
        <v>39</v>
      </c>
      <c r="F265">
        <v>5</v>
      </c>
      <c r="G265" s="4">
        <v>22000</v>
      </c>
      <c r="H265" s="4" t="str">
        <f>IF(Table2[[#This Row],[Price]]=0,"No","Yes")</f>
        <v>Yes</v>
      </c>
      <c r="I265" t="s">
        <v>44</v>
      </c>
      <c r="J265" t="s">
        <v>47</v>
      </c>
      <c r="K265">
        <v>110000</v>
      </c>
      <c r="L265">
        <v>1</v>
      </c>
      <c r="M265">
        <v>2023</v>
      </c>
    </row>
    <row r="266" spans="1:13" x14ac:dyDescent="0.35">
      <c r="A266">
        <v>100265</v>
      </c>
      <c r="B266" s="1">
        <v>44938</v>
      </c>
      <c r="C266" t="s">
        <v>24</v>
      </c>
      <c r="D266" t="s">
        <v>37</v>
      </c>
      <c r="E266" t="s">
        <v>40</v>
      </c>
      <c r="F266">
        <v>5</v>
      </c>
      <c r="G266" s="4">
        <v>18000</v>
      </c>
      <c r="H266" s="4" t="str">
        <f>IF(Table2[[#This Row],[Price]]=0,"No","Yes")</f>
        <v>Yes</v>
      </c>
      <c r="I266" t="s">
        <v>41</v>
      </c>
      <c r="J266" t="s">
        <v>51</v>
      </c>
      <c r="K266">
        <v>90000</v>
      </c>
      <c r="L266">
        <v>1</v>
      </c>
      <c r="M266">
        <v>2023</v>
      </c>
    </row>
    <row r="267" spans="1:13" hidden="1" x14ac:dyDescent="0.35">
      <c r="A267">
        <v>100266</v>
      </c>
      <c r="B267" s="1">
        <v>44938.041666666657</v>
      </c>
      <c r="C267" t="s">
        <v>23</v>
      </c>
      <c r="D267" t="s">
        <v>36</v>
      </c>
      <c r="E267" t="s">
        <v>39</v>
      </c>
      <c r="F267">
        <v>2</v>
      </c>
      <c r="H267" s="4" t="str">
        <f>IF(Table2[[#This Row],[Price]]=0,"No","Yes")</f>
        <v>No</v>
      </c>
      <c r="I267" t="s">
        <v>41</v>
      </c>
      <c r="J267" t="s">
        <v>51</v>
      </c>
      <c r="K267">
        <v>110000</v>
      </c>
      <c r="L267">
        <v>1</v>
      </c>
      <c r="M267">
        <v>2023</v>
      </c>
    </row>
    <row r="268" spans="1:13" x14ac:dyDescent="0.35">
      <c r="A268">
        <v>100267</v>
      </c>
      <c r="B268" s="1">
        <v>44938.083333333343</v>
      </c>
      <c r="C268" t="s">
        <v>26</v>
      </c>
      <c r="D268" t="s">
        <v>32</v>
      </c>
      <c r="E268" t="s">
        <v>39</v>
      </c>
      <c r="F268">
        <v>1</v>
      </c>
      <c r="G268" s="4">
        <v>1500</v>
      </c>
      <c r="H268" s="4" t="str">
        <f>IF(Table2[[#This Row],[Price]]=0,"No","Yes")</f>
        <v>Yes</v>
      </c>
      <c r="I268" t="s">
        <v>41</v>
      </c>
      <c r="J268" t="s">
        <v>51</v>
      </c>
      <c r="K268">
        <v>1500</v>
      </c>
      <c r="L268">
        <v>1</v>
      </c>
      <c r="M268">
        <v>2023</v>
      </c>
    </row>
    <row r="269" spans="1:13" x14ac:dyDescent="0.35">
      <c r="A269">
        <v>100268</v>
      </c>
      <c r="B269" s="1">
        <v>44938.125</v>
      </c>
      <c r="C269" t="s">
        <v>21</v>
      </c>
      <c r="D269" t="s">
        <v>34</v>
      </c>
      <c r="E269" t="s">
        <v>39</v>
      </c>
      <c r="F269">
        <v>5</v>
      </c>
      <c r="G269" s="4">
        <v>1500</v>
      </c>
      <c r="H269" s="4" t="str">
        <f>IF(Table2[[#This Row],[Price]]=0,"No","Yes")</f>
        <v>Yes</v>
      </c>
      <c r="I269" t="s">
        <v>42</v>
      </c>
      <c r="J269" t="s">
        <v>47</v>
      </c>
      <c r="K269">
        <v>7500</v>
      </c>
      <c r="L269">
        <v>1</v>
      </c>
      <c r="M269">
        <v>2023</v>
      </c>
    </row>
    <row r="270" spans="1:13" x14ac:dyDescent="0.35">
      <c r="A270">
        <v>100269</v>
      </c>
      <c r="B270" s="1">
        <v>44938.166666666657</v>
      </c>
      <c r="C270" t="s">
        <v>17</v>
      </c>
      <c r="D270" t="s">
        <v>33</v>
      </c>
      <c r="E270" t="s">
        <v>40</v>
      </c>
      <c r="F270">
        <v>3</v>
      </c>
      <c r="G270" s="4">
        <v>65000</v>
      </c>
      <c r="H270" s="4" t="str">
        <f>IF(Table2[[#This Row],[Price]]=0,"No","Yes")</f>
        <v>Yes</v>
      </c>
      <c r="I270" t="s">
        <v>42</v>
      </c>
      <c r="J270" t="s">
        <v>49</v>
      </c>
      <c r="K270">
        <v>195000</v>
      </c>
      <c r="L270">
        <v>1</v>
      </c>
      <c r="M270">
        <v>2023</v>
      </c>
    </row>
    <row r="271" spans="1:13" x14ac:dyDescent="0.35">
      <c r="A271">
        <v>100270</v>
      </c>
      <c r="B271" s="1">
        <v>44938.208333333343</v>
      </c>
      <c r="C271" t="s">
        <v>30</v>
      </c>
      <c r="D271" t="s">
        <v>37</v>
      </c>
      <c r="E271" t="s">
        <v>40</v>
      </c>
      <c r="F271">
        <v>3</v>
      </c>
      <c r="G271" s="4">
        <v>12000</v>
      </c>
      <c r="H271" s="4" t="str">
        <f>IF(Table2[[#This Row],[Price]]=0,"No","Yes")</f>
        <v>Yes</v>
      </c>
      <c r="I271" t="s">
        <v>43</v>
      </c>
      <c r="J271" t="s">
        <v>51</v>
      </c>
      <c r="K271">
        <v>36000</v>
      </c>
      <c r="L271">
        <v>1</v>
      </c>
      <c r="M271">
        <v>2023</v>
      </c>
    </row>
    <row r="272" spans="1:13" x14ac:dyDescent="0.35">
      <c r="A272">
        <v>100271</v>
      </c>
      <c r="B272" s="1">
        <v>44938.25</v>
      </c>
      <c r="C272" t="s">
        <v>22</v>
      </c>
      <c r="D272" t="s">
        <v>37</v>
      </c>
      <c r="E272" t="s">
        <v>39</v>
      </c>
      <c r="F272">
        <v>5</v>
      </c>
      <c r="G272" s="4">
        <v>55000</v>
      </c>
      <c r="H272" s="4" t="str">
        <f>IF(Table2[[#This Row],[Price]]=0,"No","Yes")</f>
        <v>Yes</v>
      </c>
      <c r="I272" t="s">
        <v>44</v>
      </c>
      <c r="J272" t="s">
        <v>45</v>
      </c>
      <c r="K272">
        <v>275000</v>
      </c>
      <c r="L272">
        <v>1</v>
      </c>
      <c r="M272">
        <v>2023</v>
      </c>
    </row>
    <row r="273" spans="1:13" x14ac:dyDescent="0.35">
      <c r="A273">
        <v>100272</v>
      </c>
      <c r="B273" s="1">
        <v>44938.291666666657</v>
      </c>
      <c r="C273" t="s">
        <v>22</v>
      </c>
      <c r="D273" t="s">
        <v>33</v>
      </c>
      <c r="E273" t="s">
        <v>39</v>
      </c>
      <c r="F273">
        <v>1</v>
      </c>
      <c r="G273" s="4">
        <v>12000</v>
      </c>
      <c r="H273" s="4" t="str">
        <f>IF(Table2[[#This Row],[Price]]=0,"No","Yes")</f>
        <v>Yes</v>
      </c>
      <c r="I273" t="s">
        <v>44</v>
      </c>
      <c r="J273" t="s">
        <v>50</v>
      </c>
      <c r="K273">
        <v>12000</v>
      </c>
      <c r="L273">
        <v>1</v>
      </c>
      <c r="M273">
        <v>2023</v>
      </c>
    </row>
    <row r="274" spans="1:13" x14ac:dyDescent="0.35">
      <c r="A274">
        <v>100273</v>
      </c>
      <c r="B274" s="1">
        <v>44938.333333333343</v>
      </c>
      <c r="C274" t="s">
        <v>31</v>
      </c>
      <c r="D274" t="s">
        <v>33</v>
      </c>
      <c r="E274" t="s">
        <v>39</v>
      </c>
      <c r="F274">
        <v>1</v>
      </c>
      <c r="G274" s="4">
        <v>55000</v>
      </c>
      <c r="H274" s="4" t="str">
        <f>IF(Table2[[#This Row],[Price]]=0,"No","Yes")</f>
        <v>Yes</v>
      </c>
      <c r="I274" t="s">
        <v>44</v>
      </c>
      <c r="J274" t="s">
        <v>48</v>
      </c>
      <c r="K274">
        <v>55000</v>
      </c>
      <c r="L274">
        <v>1</v>
      </c>
      <c r="M274">
        <v>2023</v>
      </c>
    </row>
    <row r="275" spans="1:13" x14ac:dyDescent="0.35">
      <c r="A275">
        <v>100274</v>
      </c>
      <c r="B275" s="1">
        <v>44938.375</v>
      </c>
      <c r="C275" t="s">
        <v>17</v>
      </c>
      <c r="D275" t="s">
        <v>32</v>
      </c>
      <c r="E275" t="s">
        <v>39</v>
      </c>
      <c r="F275">
        <v>1</v>
      </c>
      <c r="G275" s="4">
        <v>55000</v>
      </c>
      <c r="H275" s="4" t="str">
        <f>IF(Table2[[#This Row],[Price]]=0,"No","Yes")</f>
        <v>Yes</v>
      </c>
      <c r="I275" t="s">
        <v>41</v>
      </c>
      <c r="J275" t="s">
        <v>49</v>
      </c>
      <c r="K275">
        <v>55000</v>
      </c>
      <c r="L275">
        <v>1</v>
      </c>
      <c r="M275">
        <v>2023</v>
      </c>
    </row>
    <row r="276" spans="1:13" x14ac:dyDescent="0.35">
      <c r="A276">
        <v>100275</v>
      </c>
      <c r="B276" s="1">
        <v>44938.416666666657</v>
      </c>
      <c r="C276" t="s">
        <v>16</v>
      </c>
      <c r="D276" t="s">
        <v>36</v>
      </c>
      <c r="E276" t="s">
        <v>39</v>
      </c>
      <c r="F276">
        <v>2</v>
      </c>
      <c r="G276" s="4">
        <v>55000</v>
      </c>
      <c r="H276" s="4" t="str">
        <f>IF(Table2[[#This Row],[Price]]=0,"No","Yes")</f>
        <v>Yes</v>
      </c>
      <c r="I276" t="s">
        <v>44</v>
      </c>
      <c r="J276" t="s">
        <v>50</v>
      </c>
      <c r="K276">
        <v>110000</v>
      </c>
      <c r="L276">
        <v>1</v>
      </c>
      <c r="M276">
        <v>2023</v>
      </c>
    </row>
    <row r="277" spans="1:13" x14ac:dyDescent="0.35">
      <c r="A277">
        <v>100276</v>
      </c>
      <c r="B277" s="1">
        <v>44938.458333333343</v>
      </c>
      <c r="C277" t="s">
        <v>20</v>
      </c>
      <c r="D277" t="s">
        <v>37</v>
      </c>
      <c r="E277" t="s">
        <v>39</v>
      </c>
      <c r="F277">
        <v>5</v>
      </c>
      <c r="G277" s="4">
        <v>2500</v>
      </c>
      <c r="H277" s="4" t="str">
        <f>IF(Table2[[#This Row],[Price]]=0,"No","Yes")</f>
        <v>Yes</v>
      </c>
      <c r="I277" t="s">
        <v>44</v>
      </c>
      <c r="J277" t="s">
        <v>50</v>
      </c>
      <c r="K277">
        <v>12500</v>
      </c>
      <c r="L277">
        <v>1</v>
      </c>
      <c r="M277">
        <v>2023</v>
      </c>
    </row>
    <row r="278" spans="1:13" x14ac:dyDescent="0.35">
      <c r="A278">
        <v>100277</v>
      </c>
      <c r="B278" s="1">
        <v>44938.5</v>
      </c>
      <c r="C278" t="s">
        <v>23</v>
      </c>
      <c r="D278" t="s">
        <v>38</v>
      </c>
      <c r="E278" t="s">
        <v>39</v>
      </c>
      <c r="F278">
        <v>1</v>
      </c>
      <c r="G278" s="4">
        <v>5000</v>
      </c>
      <c r="H278" s="4" t="str">
        <f>IF(Table2[[#This Row],[Price]]=0,"No","Yes")</f>
        <v>Yes</v>
      </c>
      <c r="I278" t="s">
        <v>44</v>
      </c>
      <c r="J278" t="s">
        <v>51</v>
      </c>
      <c r="K278">
        <v>5000</v>
      </c>
      <c r="L278">
        <v>1</v>
      </c>
      <c r="M278">
        <v>2023</v>
      </c>
    </row>
    <row r="279" spans="1:13" x14ac:dyDescent="0.35">
      <c r="A279">
        <v>100278</v>
      </c>
      <c r="B279" s="1">
        <v>44938.541666666657</v>
      </c>
      <c r="C279" t="s">
        <v>14</v>
      </c>
      <c r="D279" t="s">
        <v>33</v>
      </c>
      <c r="E279" t="s">
        <v>39</v>
      </c>
      <c r="F279">
        <v>4</v>
      </c>
      <c r="G279" s="4">
        <v>1500</v>
      </c>
      <c r="H279" s="4" t="str">
        <f>IF(Table2[[#This Row],[Price]]=0,"No","Yes")</f>
        <v>Yes</v>
      </c>
      <c r="I279" t="s">
        <v>43</v>
      </c>
      <c r="J279" t="s">
        <v>49</v>
      </c>
      <c r="K279">
        <v>6000</v>
      </c>
      <c r="L279">
        <v>1</v>
      </c>
      <c r="M279">
        <v>2023</v>
      </c>
    </row>
    <row r="280" spans="1:13" x14ac:dyDescent="0.35">
      <c r="A280">
        <v>100279</v>
      </c>
      <c r="B280" s="1">
        <v>44938.583333333343</v>
      </c>
      <c r="C280" t="s">
        <v>23</v>
      </c>
      <c r="D280" t="s">
        <v>38</v>
      </c>
      <c r="E280" t="s">
        <v>39</v>
      </c>
      <c r="F280">
        <v>4</v>
      </c>
      <c r="G280" s="4">
        <v>22000</v>
      </c>
      <c r="H280" s="4" t="str">
        <f>IF(Table2[[#This Row],[Price]]=0,"No","Yes")</f>
        <v>Yes</v>
      </c>
      <c r="I280" t="s">
        <v>42</v>
      </c>
      <c r="J280" t="s">
        <v>45</v>
      </c>
      <c r="K280">
        <v>88000</v>
      </c>
      <c r="L280">
        <v>1</v>
      </c>
      <c r="M280">
        <v>2023</v>
      </c>
    </row>
    <row r="281" spans="1:13" x14ac:dyDescent="0.35">
      <c r="A281">
        <v>100280</v>
      </c>
      <c r="B281" s="1">
        <v>44938.625</v>
      </c>
      <c r="C281" t="s">
        <v>27</v>
      </c>
      <c r="D281" t="s">
        <v>34</v>
      </c>
      <c r="E281" t="s">
        <v>40</v>
      </c>
      <c r="F281">
        <v>3</v>
      </c>
      <c r="G281" s="4">
        <v>22000</v>
      </c>
      <c r="H281" s="4" t="str">
        <f>IF(Table2[[#This Row],[Price]]=0,"No","Yes")</f>
        <v>Yes</v>
      </c>
      <c r="I281" t="s">
        <v>42</v>
      </c>
      <c r="J281" t="s">
        <v>50</v>
      </c>
      <c r="K281">
        <v>66000</v>
      </c>
      <c r="L281">
        <v>1</v>
      </c>
      <c r="M281">
        <v>2023</v>
      </c>
    </row>
    <row r="282" spans="1:13" x14ac:dyDescent="0.35">
      <c r="A282">
        <v>100281</v>
      </c>
      <c r="B282" s="1">
        <v>44938.666666666657</v>
      </c>
      <c r="C282" t="s">
        <v>26</v>
      </c>
      <c r="D282" t="s">
        <v>33</v>
      </c>
      <c r="E282" t="s">
        <v>39</v>
      </c>
      <c r="F282">
        <v>4</v>
      </c>
      <c r="G282" s="4">
        <v>45000</v>
      </c>
      <c r="H282" s="4" t="str">
        <f>IF(Table2[[#This Row],[Price]]=0,"No","Yes")</f>
        <v>Yes</v>
      </c>
      <c r="I282" t="s">
        <v>44</v>
      </c>
      <c r="J282" t="s">
        <v>46</v>
      </c>
      <c r="K282">
        <v>180000</v>
      </c>
      <c r="L282">
        <v>1</v>
      </c>
      <c r="M282">
        <v>2023</v>
      </c>
    </row>
    <row r="283" spans="1:13" x14ac:dyDescent="0.35">
      <c r="A283">
        <v>100282</v>
      </c>
      <c r="B283" s="1">
        <v>44938.708333333343</v>
      </c>
      <c r="C283" t="s">
        <v>17</v>
      </c>
      <c r="D283" t="s">
        <v>37</v>
      </c>
      <c r="E283" t="s">
        <v>40</v>
      </c>
      <c r="F283">
        <v>3</v>
      </c>
      <c r="G283" s="4">
        <v>1500</v>
      </c>
      <c r="H283" s="4" t="str">
        <f>IF(Table2[[#This Row],[Price]]=0,"No","Yes")</f>
        <v>Yes</v>
      </c>
      <c r="I283" t="s">
        <v>43</v>
      </c>
      <c r="J283" t="s">
        <v>49</v>
      </c>
      <c r="K283">
        <v>4500</v>
      </c>
      <c r="L283">
        <v>1</v>
      </c>
      <c r="M283">
        <v>2023</v>
      </c>
    </row>
    <row r="284" spans="1:13" x14ac:dyDescent="0.35">
      <c r="A284">
        <v>100283</v>
      </c>
      <c r="B284" s="1">
        <v>44938.75</v>
      </c>
      <c r="C284" t="s">
        <v>18</v>
      </c>
      <c r="D284" t="s">
        <v>32</v>
      </c>
      <c r="E284" t="s">
        <v>39</v>
      </c>
      <c r="F284">
        <v>2</v>
      </c>
      <c r="G284" s="4">
        <v>55000</v>
      </c>
      <c r="H284" s="4" t="str">
        <f>IF(Table2[[#This Row],[Price]]=0,"No","Yes")</f>
        <v>Yes</v>
      </c>
      <c r="I284" t="s">
        <v>41</v>
      </c>
      <c r="J284" t="s">
        <v>49</v>
      </c>
      <c r="K284">
        <v>110000</v>
      </c>
      <c r="L284">
        <v>1</v>
      </c>
      <c r="M284">
        <v>2023</v>
      </c>
    </row>
    <row r="285" spans="1:13" x14ac:dyDescent="0.35">
      <c r="A285">
        <v>100284</v>
      </c>
      <c r="B285" s="1">
        <v>44938.791666666657</v>
      </c>
      <c r="C285" t="s">
        <v>19</v>
      </c>
      <c r="D285" t="s">
        <v>32</v>
      </c>
      <c r="E285" t="s">
        <v>39</v>
      </c>
      <c r="F285">
        <v>2</v>
      </c>
      <c r="G285" s="4">
        <v>55000</v>
      </c>
      <c r="H285" s="4" t="str">
        <f>IF(Table2[[#This Row],[Price]]=0,"No","Yes")</f>
        <v>Yes</v>
      </c>
      <c r="I285" t="s">
        <v>44</v>
      </c>
      <c r="J285" t="s">
        <v>45</v>
      </c>
      <c r="K285">
        <v>110000</v>
      </c>
      <c r="L285">
        <v>1</v>
      </c>
      <c r="M285">
        <v>2023</v>
      </c>
    </row>
    <row r="286" spans="1:13" x14ac:dyDescent="0.35">
      <c r="A286">
        <v>100285</v>
      </c>
      <c r="B286" s="1">
        <v>44938.833333333343</v>
      </c>
      <c r="C286" t="s">
        <v>24</v>
      </c>
      <c r="D286" t="s">
        <v>37</v>
      </c>
      <c r="E286" t="s">
        <v>40</v>
      </c>
      <c r="F286">
        <v>4</v>
      </c>
      <c r="G286" s="4">
        <v>22000</v>
      </c>
      <c r="H286" s="4" t="str">
        <f>IF(Table2[[#This Row],[Price]]=0,"No","Yes")</f>
        <v>Yes</v>
      </c>
      <c r="I286" t="s">
        <v>41</v>
      </c>
      <c r="J286" t="s">
        <v>48</v>
      </c>
      <c r="K286">
        <v>88000</v>
      </c>
      <c r="L286">
        <v>1</v>
      </c>
      <c r="M286">
        <v>2023</v>
      </c>
    </row>
    <row r="287" spans="1:13" x14ac:dyDescent="0.35">
      <c r="A287">
        <v>100286</v>
      </c>
      <c r="B287" s="1">
        <v>44938.875</v>
      </c>
      <c r="C287" t="s">
        <v>24</v>
      </c>
      <c r="D287" t="s">
        <v>37</v>
      </c>
      <c r="E287" t="s">
        <v>39</v>
      </c>
      <c r="F287">
        <v>5</v>
      </c>
      <c r="G287" s="4">
        <v>55000</v>
      </c>
      <c r="H287" s="4" t="str">
        <f>IF(Table2[[#This Row],[Price]]=0,"No","Yes")</f>
        <v>Yes</v>
      </c>
      <c r="I287" t="s">
        <v>43</v>
      </c>
      <c r="J287" t="s">
        <v>46</v>
      </c>
      <c r="K287">
        <v>275000</v>
      </c>
      <c r="L287">
        <v>1</v>
      </c>
      <c r="M287">
        <v>2023</v>
      </c>
    </row>
    <row r="288" spans="1:13" x14ac:dyDescent="0.35">
      <c r="A288">
        <v>100287</v>
      </c>
      <c r="B288" s="1">
        <v>44938.916666666657</v>
      </c>
      <c r="C288" t="s">
        <v>21</v>
      </c>
      <c r="D288" t="s">
        <v>34</v>
      </c>
      <c r="E288" t="s">
        <v>39</v>
      </c>
      <c r="F288">
        <v>1</v>
      </c>
      <c r="G288" s="4">
        <v>5000</v>
      </c>
      <c r="H288" s="4" t="str">
        <f>IF(Table2[[#This Row],[Price]]=0,"No","Yes")</f>
        <v>Yes</v>
      </c>
      <c r="I288" t="s">
        <v>43</v>
      </c>
      <c r="J288" t="s">
        <v>49</v>
      </c>
      <c r="K288">
        <v>5000</v>
      </c>
      <c r="L288">
        <v>1</v>
      </c>
      <c r="M288">
        <v>2023</v>
      </c>
    </row>
    <row r="289" spans="1:13" x14ac:dyDescent="0.35">
      <c r="A289">
        <v>100288</v>
      </c>
      <c r="B289" s="1">
        <v>44938.958333333343</v>
      </c>
      <c r="C289" t="s">
        <v>30</v>
      </c>
      <c r="D289" t="s">
        <v>32</v>
      </c>
      <c r="E289" t="s">
        <v>39</v>
      </c>
      <c r="F289">
        <v>1</v>
      </c>
      <c r="G289" s="4">
        <v>12000</v>
      </c>
      <c r="H289" s="4" t="str">
        <f>IF(Table2[[#This Row],[Price]]=0,"No","Yes")</f>
        <v>Yes</v>
      </c>
      <c r="I289" t="s">
        <v>44</v>
      </c>
      <c r="J289" t="s">
        <v>50</v>
      </c>
      <c r="K289">
        <v>12000</v>
      </c>
      <c r="L289">
        <v>1</v>
      </c>
      <c r="M289">
        <v>2023</v>
      </c>
    </row>
    <row r="290" spans="1:13" x14ac:dyDescent="0.35">
      <c r="A290">
        <v>100289</v>
      </c>
      <c r="B290" s="1">
        <v>44939</v>
      </c>
      <c r="C290" t="s">
        <v>22</v>
      </c>
      <c r="D290" t="s">
        <v>32</v>
      </c>
      <c r="E290" t="s">
        <v>39</v>
      </c>
      <c r="F290">
        <v>5</v>
      </c>
      <c r="G290" s="4">
        <v>65000</v>
      </c>
      <c r="H290" s="4" t="str">
        <f>IF(Table2[[#This Row],[Price]]=0,"No","Yes")</f>
        <v>Yes</v>
      </c>
      <c r="I290" t="s">
        <v>41</v>
      </c>
      <c r="J290" t="s">
        <v>48</v>
      </c>
      <c r="K290">
        <v>325000</v>
      </c>
      <c r="L290">
        <v>1</v>
      </c>
      <c r="M290">
        <v>2023</v>
      </c>
    </row>
    <row r="291" spans="1:13" x14ac:dyDescent="0.35">
      <c r="A291">
        <v>100290</v>
      </c>
      <c r="B291" s="1">
        <v>44939.041666666657</v>
      </c>
      <c r="C291" t="s">
        <v>19</v>
      </c>
      <c r="D291" t="s">
        <v>32</v>
      </c>
      <c r="E291" t="s">
        <v>39</v>
      </c>
      <c r="F291">
        <v>3</v>
      </c>
      <c r="G291" s="4">
        <v>12000</v>
      </c>
      <c r="H291" s="4" t="str">
        <f>IF(Table2[[#This Row],[Price]]=0,"No","Yes")</f>
        <v>Yes</v>
      </c>
      <c r="I291" t="s">
        <v>41</v>
      </c>
      <c r="J291" t="s">
        <v>45</v>
      </c>
      <c r="K291">
        <v>36000</v>
      </c>
      <c r="L291">
        <v>1</v>
      </c>
      <c r="M291">
        <v>2023</v>
      </c>
    </row>
    <row r="292" spans="1:13" x14ac:dyDescent="0.35">
      <c r="A292">
        <v>100291</v>
      </c>
      <c r="B292" s="1">
        <v>44939.083333333343</v>
      </c>
      <c r="C292" t="s">
        <v>28</v>
      </c>
      <c r="D292" t="s">
        <v>33</v>
      </c>
      <c r="E292" t="s">
        <v>39</v>
      </c>
      <c r="F292">
        <v>3</v>
      </c>
      <c r="G292" s="4">
        <v>18000</v>
      </c>
      <c r="H292" s="4" t="str">
        <f>IF(Table2[[#This Row],[Price]]=0,"No","Yes")</f>
        <v>Yes</v>
      </c>
      <c r="I292" t="s">
        <v>43</v>
      </c>
      <c r="J292" t="s">
        <v>45</v>
      </c>
      <c r="K292">
        <v>54000</v>
      </c>
      <c r="L292">
        <v>1</v>
      </c>
      <c r="M292">
        <v>2023</v>
      </c>
    </row>
    <row r="293" spans="1:13" x14ac:dyDescent="0.35">
      <c r="A293">
        <v>100292</v>
      </c>
      <c r="B293" s="1">
        <v>44939.125</v>
      </c>
      <c r="C293" t="s">
        <v>27</v>
      </c>
      <c r="D293" t="s">
        <v>34</v>
      </c>
      <c r="E293" t="s">
        <v>39</v>
      </c>
      <c r="F293">
        <v>3</v>
      </c>
      <c r="G293" s="4">
        <v>1500</v>
      </c>
      <c r="H293" s="4" t="str">
        <f>IF(Table2[[#This Row],[Price]]=0,"No","Yes")</f>
        <v>Yes</v>
      </c>
      <c r="I293" t="s">
        <v>41</v>
      </c>
      <c r="J293" t="s">
        <v>47</v>
      </c>
      <c r="K293">
        <v>4500</v>
      </c>
      <c r="L293">
        <v>1</v>
      </c>
      <c r="M293">
        <v>2023</v>
      </c>
    </row>
    <row r="294" spans="1:13" x14ac:dyDescent="0.35">
      <c r="A294">
        <v>100293</v>
      </c>
      <c r="B294" s="1">
        <v>44939.166666666657</v>
      </c>
      <c r="C294" t="s">
        <v>24</v>
      </c>
      <c r="D294" t="s">
        <v>33</v>
      </c>
      <c r="E294" t="s">
        <v>39</v>
      </c>
      <c r="F294">
        <v>1</v>
      </c>
      <c r="G294" s="4">
        <v>5000</v>
      </c>
      <c r="H294" s="4" t="str">
        <f>IF(Table2[[#This Row],[Price]]=0,"No","Yes")</f>
        <v>Yes</v>
      </c>
      <c r="I294" t="s">
        <v>44</v>
      </c>
      <c r="J294" t="s">
        <v>46</v>
      </c>
      <c r="K294">
        <v>5000</v>
      </c>
      <c r="L294">
        <v>1</v>
      </c>
      <c r="M294">
        <v>2023</v>
      </c>
    </row>
    <row r="295" spans="1:13" x14ac:dyDescent="0.35">
      <c r="A295">
        <v>100294</v>
      </c>
      <c r="B295" s="1">
        <v>44939.208333333343</v>
      </c>
      <c r="C295" t="s">
        <v>30</v>
      </c>
      <c r="D295" t="s">
        <v>34</v>
      </c>
      <c r="E295" t="s">
        <v>39</v>
      </c>
      <c r="F295">
        <v>4</v>
      </c>
      <c r="G295" s="4">
        <v>65000</v>
      </c>
      <c r="H295" s="4" t="str">
        <f>IF(Table2[[#This Row],[Price]]=0,"No","Yes")</f>
        <v>Yes</v>
      </c>
      <c r="I295" t="s">
        <v>44</v>
      </c>
      <c r="J295" t="s">
        <v>49</v>
      </c>
      <c r="K295">
        <v>260000</v>
      </c>
      <c r="L295">
        <v>1</v>
      </c>
      <c r="M295">
        <v>2023</v>
      </c>
    </row>
    <row r="296" spans="1:13" x14ac:dyDescent="0.35">
      <c r="A296">
        <v>100295</v>
      </c>
      <c r="B296" s="1">
        <v>44939.25</v>
      </c>
      <c r="C296" t="s">
        <v>19</v>
      </c>
      <c r="D296" t="s">
        <v>36</v>
      </c>
      <c r="E296" t="s">
        <v>39</v>
      </c>
      <c r="F296">
        <v>5</v>
      </c>
      <c r="G296" s="4">
        <v>2500</v>
      </c>
      <c r="H296" s="4" t="str">
        <f>IF(Table2[[#This Row],[Price]]=0,"No","Yes")</f>
        <v>Yes</v>
      </c>
      <c r="I296" t="s">
        <v>44</v>
      </c>
      <c r="J296" t="s">
        <v>48</v>
      </c>
      <c r="K296">
        <v>12500</v>
      </c>
      <c r="L296">
        <v>1</v>
      </c>
      <c r="M296">
        <v>2023</v>
      </c>
    </row>
    <row r="297" spans="1:13" x14ac:dyDescent="0.35">
      <c r="A297">
        <v>100296</v>
      </c>
      <c r="B297" s="1">
        <v>44939.291666666657</v>
      </c>
      <c r="C297" t="s">
        <v>23</v>
      </c>
      <c r="D297" t="s">
        <v>32</v>
      </c>
      <c r="E297" t="s">
        <v>40</v>
      </c>
      <c r="F297">
        <v>2</v>
      </c>
      <c r="G297" s="4">
        <v>22000</v>
      </c>
      <c r="H297" s="4" t="str">
        <f>IF(Table2[[#This Row],[Price]]=0,"No","Yes")</f>
        <v>Yes</v>
      </c>
      <c r="I297" t="s">
        <v>42</v>
      </c>
      <c r="J297" t="s">
        <v>46</v>
      </c>
      <c r="K297">
        <v>44000</v>
      </c>
      <c r="L297">
        <v>1</v>
      </c>
      <c r="M297">
        <v>2023</v>
      </c>
    </row>
    <row r="298" spans="1:13" x14ac:dyDescent="0.35">
      <c r="A298">
        <v>100297</v>
      </c>
      <c r="B298" s="1">
        <v>44939.333333333343</v>
      </c>
      <c r="C298" t="s">
        <v>13</v>
      </c>
      <c r="D298" t="s">
        <v>36</v>
      </c>
      <c r="E298" t="s">
        <v>39</v>
      </c>
      <c r="F298">
        <v>2</v>
      </c>
      <c r="G298" s="4">
        <v>18000</v>
      </c>
      <c r="H298" s="4" t="str">
        <f>IF(Table2[[#This Row],[Price]]=0,"No","Yes")</f>
        <v>Yes</v>
      </c>
      <c r="I298" t="s">
        <v>41</v>
      </c>
      <c r="J298" t="s">
        <v>51</v>
      </c>
      <c r="K298">
        <v>36000</v>
      </c>
      <c r="L298">
        <v>1</v>
      </c>
      <c r="M298">
        <v>2023</v>
      </c>
    </row>
    <row r="299" spans="1:13" x14ac:dyDescent="0.35">
      <c r="A299">
        <v>100298</v>
      </c>
      <c r="B299" s="1">
        <v>44939.375</v>
      </c>
      <c r="C299" t="s">
        <v>23</v>
      </c>
      <c r="D299" t="s">
        <v>35</v>
      </c>
      <c r="E299" t="s">
        <v>39</v>
      </c>
      <c r="F299">
        <v>1</v>
      </c>
      <c r="G299" s="4">
        <v>65000</v>
      </c>
      <c r="H299" s="4" t="str">
        <f>IF(Table2[[#This Row],[Price]]=0,"No","Yes")</f>
        <v>Yes</v>
      </c>
      <c r="I299" t="s">
        <v>44</v>
      </c>
      <c r="J299" t="s">
        <v>45</v>
      </c>
      <c r="K299">
        <v>65000</v>
      </c>
      <c r="L299">
        <v>1</v>
      </c>
      <c r="M299">
        <v>2023</v>
      </c>
    </row>
    <row r="300" spans="1:13" x14ac:dyDescent="0.35">
      <c r="A300">
        <v>100299</v>
      </c>
      <c r="B300" s="1">
        <v>44939.416666666657</v>
      </c>
      <c r="C300" t="s">
        <v>19</v>
      </c>
      <c r="D300" t="s">
        <v>35</v>
      </c>
      <c r="E300" t="s">
        <v>40</v>
      </c>
      <c r="F300">
        <v>1</v>
      </c>
      <c r="G300" s="4">
        <v>45000</v>
      </c>
      <c r="H300" s="4" t="str">
        <f>IF(Table2[[#This Row],[Price]]=0,"No","Yes")</f>
        <v>Yes</v>
      </c>
      <c r="I300" t="s">
        <v>44</v>
      </c>
      <c r="J300" t="s">
        <v>49</v>
      </c>
      <c r="K300">
        <v>45000</v>
      </c>
      <c r="L300">
        <v>1</v>
      </c>
      <c r="M300">
        <v>2023</v>
      </c>
    </row>
    <row r="301" spans="1:13" x14ac:dyDescent="0.35">
      <c r="A301">
        <v>100300</v>
      </c>
      <c r="B301" s="1">
        <v>44939.458333333343</v>
      </c>
      <c r="C301" t="s">
        <v>29</v>
      </c>
      <c r="D301" t="s">
        <v>32</v>
      </c>
      <c r="E301" t="s">
        <v>39</v>
      </c>
      <c r="F301">
        <v>1</v>
      </c>
      <c r="G301" s="4">
        <v>35000</v>
      </c>
      <c r="H301" s="4" t="str">
        <f>IF(Table2[[#This Row],[Price]]=0,"No","Yes")</f>
        <v>Yes</v>
      </c>
      <c r="I301" t="s">
        <v>44</v>
      </c>
      <c r="J301" t="s">
        <v>46</v>
      </c>
      <c r="K301">
        <v>35000</v>
      </c>
      <c r="L301">
        <v>1</v>
      </c>
      <c r="M301">
        <v>2023</v>
      </c>
    </row>
    <row r="302" spans="1:13" x14ac:dyDescent="0.35">
      <c r="A302">
        <v>100301</v>
      </c>
      <c r="B302" s="1">
        <v>44939.5</v>
      </c>
      <c r="C302" t="s">
        <v>25</v>
      </c>
      <c r="D302" t="s">
        <v>38</v>
      </c>
      <c r="E302" t="s">
        <v>39</v>
      </c>
      <c r="F302">
        <v>5</v>
      </c>
      <c r="G302" s="4">
        <v>1500</v>
      </c>
      <c r="H302" s="4" t="str">
        <f>IF(Table2[[#This Row],[Price]]=0,"No","Yes")</f>
        <v>Yes</v>
      </c>
      <c r="I302" t="s">
        <v>41</v>
      </c>
      <c r="J302" t="s">
        <v>48</v>
      </c>
      <c r="K302">
        <v>7500</v>
      </c>
      <c r="L302">
        <v>1</v>
      </c>
      <c r="M302">
        <v>2023</v>
      </c>
    </row>
    <row r="303" spans="1:13" x14ac:dyDescent="0.35">
      <c r="A303">
        <v>100302</v>
      </c>
      <c r="B303" s="1">
        <v>44939.541666666657</v>
      </c>
      <c r="C303" t="s">
        <v>19</v>
      </c>
      <c r="D303" t="s">
        <v>37</v>
      </c>
      <c r="E303" t="s">
        <v>39</v>
      </c>
      <c r="F303">
        <v>5</v>
      </c>
      <c r="G303" s="4">
        <v>12000</v>
      </c>
      <c r="H303" s="4" t="str">
        <f>IF(Table2[[#This Row],[Price]]=0,"No","Yes")</f>
        <v>Yes</v>
      </c>
      <c r="I303" t="s">
        <v>41</v>
      </c>
      <c r="J303" t="s">
        <v>45</v>
      </c>
      <c r="K303">
        <v>60000</v>
      </c>
      <c r="L303">
        <v>1</v>
      </c>
      <c r="M303">
        <v>2023</v>
      </c>
    </row>
    <row r="304" spans="1:13" x14ac:dyDescent="0.35">
      <c r="A304">
        <v>100303</v>
      </c>
      <c r="B304" s="1">
        <v>44939.583333333343</v>
      </c>
      <c r="C304" t="s">
        <v>16</v>
      </c>
      <c r="D304" t="s">
        <v>35</v>
      </c>
      <c r="E304" t="s">
        <v>40</v>
      </c>
      <c r="F304">
        <v>5</v>
      </c>
      <c r="G304" s="4">
        <v>45000</v>
      </c>
      <c r="H304" s="4" t="str">
        <f>IF(Table2[[#This Row],[Price]]=0,"No","Yes")</f>
        <v>Yes</v>
      </c>
      <c r="I304" t="s">
        <v>42</v>
      </c>
      <c r="J304" t="s">
        <v>46</v>
      </c>
      <c r="K304">
        <v>225000</v>
      </c>
      <c r="L304">
        <v>1</v>
      </c>
      <c r="M304">
        <v>2023</v>
      </c>
    </row>
    <row r="305" spans="1:13" x14ac:dyDescent="0.35">
      <c r="A305">
        <v>100304</v>
      </c>
      <c r="B305" s="1">
        <v>44939.625</v>
      </c>
      <c r="C305" t="s">
        <v>30</v>
      </c>
      <c r="D305" t="s">
        <v>38</v>
      </c>
      <c r="E305" t="s">
        <v>39</v>
      </c>
      <c r="F305">
        <v>5</v>
      </c>
      <c r="G305" s="4">
        <v>1500</v>
      </c>
      <c r="H305" s="4" t="str">
        <f>IF(Table2[[#This Row],[Price]]=0,"No","Yes")</f>
        <v>Yes</v>
      </c>
      <c r="I305" t="s">
        <v>44</v>
      </c>
      <c r="J305" t="s">
        <v>45</v>
      </c>
      <c r="K305">
        <v>7500</v>
      </c>
      <c r="L305">
        <v>1</v>
      </c>
      <c r="M305">
        <v>2023</v>
      </c>
    </row>
    <row r="306" spans="1:13" x14ac:dyDescent="0.35">
      <c r="A306">
        <v>100305</v>
      </c>
      <c r="B306" s="1">
        <v>44939.666666666657</v>
      </c>
      <c r="C306" t="s">
        <v>29</v>
      </c>
      <c r="D306" t="s">
        <v>36</v>
      </c>
      <c r="E306" t="s">
        <v>39</v>
      </c>
      <c r="F306">
        <v>5</v>
      </c>
      <c r="G306" s="4">
        <v>2500</v>
      </c>
      <c r="H306" s="4" t="str">
        <f>IF(Table2[[#This Row],[Price]]=0,"No","Yes")</f>
        <v>Yes</v>
      </c>
      <c r="I306" t="s">
        <v>44</v>
      </c>
      <c r="J306" t="s">
        <v>51</v>
      </c>
      <c r="K306">
        <v>12500</v>
      </c>
      <c r="L306">
        <v>1</v>
      </c>
      <c r="M306">
        <v>2023</v>
      </c>
    </row>
    <row r="307" spans="1:13" x14ac:dyDescent="0.35">
      <c r="A307">
        <v>100306</v>
      </c>
      <c r="B307" s="1">
        <v>44939.708333333343</v>
      </c>
      <c r="C307" t="s">
        <v>14</v>
      </c>
      <c r="D307" t="s">
        <v>32</v>
      </c>
      <c r="E307" t="s">
        <v>39</v>
      </c>
      <c r="F307">
        <v>3</v>
      </c>
      <c r="G307" s="4">
        <v>5000</v>
      </c>
      <c r="H307" s="4" t="str">
        <f>IF(Table2[[#This Row],[Price]]=0,"No","Yes")</f>
        <v>Yes</v>
      </c>
      <c r="I307" t="s">
        <v>42</v>
      </c>
      <c r="J307" t="s">
        <v>46</v>
      </c>
      <c r="K307">
        <v>15000</v>
      </c>
      <c r="L307">
        <v>1</v>
      </c>
      <c r="M307">
        <v>2023</v>
      </c>
    </row>
    <row r="308" spans="1:13" hidden="1" x14ac:dyDescent="0.35">
      <c r="A308">
        <v>100307</v>
      </c>
      <c r="B308" s="1">
        <v>44939.75</v>
      </c>
      <c r="C308" t="s">
        <v>20</v>
      </c>
      <c r="D308" t="s">
        <v>37</v>
      </c>
      <c r="E308" t="s">
        <v>39</v>
      </c>
      <c r="F308">
        <v>2</v>
      </c>
      <c r="H308" s="4" t="str">
        <f>IF(Table2[[#This Row],[Price]]=0,"No","Yes")</f>
        <v>No</v>
      </c>
      <c r="I308" t="s">
        <v>41</v>
      </c>
      <c r="J308" t="s">
        <v>46</v>
      </c>
      <c r="K308">
        <v>130000</v>
      </c>
      <c r="L308">
        <v>1</v>
      </c>
      <c r="M308">
        <v>2023</v>
      </c>
    </row>
    <row r="309" spans="1:13" x14ac:dyDescent="0.35">
      <c r="A309">
        <v>100308</v>
      </c>
      <c r="B309" s="1">
        <v>44939.791666666657</v>
      </c>
      <c r="C309" t="s">
        <v>25</v>
      </c>
      <c r="D309" t="s">
        <v>36</v>
      </c>
      <c r="E309" t="s">
        <v>39</v>
      </c>
      <c r="F309">
        <v>4</v>
      </c>
      <c r="G309" s="4">
        <v>55000</v>
      </c>
      <c r="H309" s="4" t="str">
        <f>IF(Table2[[#This Row],[Price]]=0,"No","Yes")</f>
        <v>Yes</v>
      </c>
      <c r="I309" t="s">
        <v>42</v>
      </c>
      <c r="J309" t="s">
        <v>45</v>
      </c>
      <c r="K309">
        <v>220000</v>
      </c>
      <c r="L309">
        <v>1</v>
      </c>
      <c r="M309">
        <v>2023</v>
      </c>
    </row>
    <row r="310" spans="1:13" x14ac:dyDescent="0.35">
      <c r="A310">
        <v>100309</v>
      </c>
      <c r="B310" s="1">
        <v>44939.833333333343</v>
      </c>
      <c r="C310" t="s">
        <v>20</v>
      </c>
      <c r="D310" t="s">
        <v>33</v>
      </c>
      <c r="E310" t="s">
        <v>39</v>
      </c>
      <c r="F310">
        <v>3</v>
      </c>
      <c r="G310" s="4">
        <v>5000</v>
      </c>
      <c r="H310" s="4" t="str">
        <f>IF(Table2[[#This Row],[Price]]=0,"No","Yes")</f>
        <v>Yes</v>
      </c>
      <c r="I310" t="s">
        <v>43</v>
      </c>
      <c r="J310" t="s">
        <v>46</v>
      </c>
      <c r="K310">
        <v>15000</v>
      </c>
      <c r="L310">
        <v>1</v>
      </c>
      <c r="M310">
        <v>2023</v>
      </c>
    </row>
    <row r="311" spans="1:13" x14ac:dyDescent="0.35">
      <c r="A311">
        <v>100310</v>
      </c>
      <c r="B311" s="1">
        <v>44939.875</v>
      </c>
      <c r="C311" t="s">
        <v>24</v>
      </c>
      <c r="D311" t="s">
        <v>36</v>
      </c>
      <c r="E311" t="s">
        <v>39</v>
      </c>
      <c r="F311">
        <v>2</v>
      </c>
      <c r="G311" s="4">
        <v>55000</v>
      </c>
      <c r="H311" s="4" t="str">
        <f>IF(Table2[[#This Row],[Price]]=0,"No","Yes")</f>
        <v>Yes</v>
      </c>
      <c r="I311" t="s">
        <v>42</v>
      </c>
      <c r="J311" t="s">
        <v>45</v>
      </c>
      <c r="K311">
        <v>110000</v>
      </c>
      <c r="L311">
        <v>1</v>
      </c>
      <c r="M311">
        <v>2023</v>
      </c>
    </row>
    <row r="312" spans="1:13" x14ac:dyDescent="0.35">
      <c r="A312">
        <v>100311</v>
      </c>
      <c r="B312" s="1">
        <v>44939.916666666657</v>
      </c>
      <c r="C312" t="s">
        <v>16</v>
      </c>
      <c r="D312" t="s">
        <v>34</v>
      </c>
      <c r="E312" t="s">
        <v>39</v>
      </c>
      <c r="F312">
        <v>2</v>
      </c>
      <c r="G312" s="4">
        <v>1500</v>
      </c>
      <c r="H312" s="4" t="str">
        <f>IF(Table2[[#This Row],[Price]]=0,"No","Yes")</f>
        <v>Yes</v>
      </c>
      <c r="I312" t="s">
        <v>43</v>
      </c>
      <c r="J312" t="s">
        <v>46</v>
      </c>
      <c r="K312">
        <v>3000</v>
      </c>
      <c r="L312">
        <v>1</v>
      </c>
      <c r="M312">
        <v>2023</v>
      </c>
    </row>
    <row r="313" spans="1:13" x14ac:dyDescent="0.35">
      <c r="A313">
        <v>100312</v>
      </c>
      <c r="B313" s="1">
        <v>44939.958333333343</v>
      </c>
      <c r="C313" t="s">
        <v>23</v>
      </c>
      <c r="D313" t="s">
        <v>32</v>
      </c>
      <c r="E313" t="s">
        <v>39</v>
      </c>
      <c r="F313">
        <v>3</v>
      </c>
      <c r="G313" s="4">
        <v>5000</v>
      </c>
      <c r="H313" s="4" t="str">
        <f>IF(Table2[[#This Row],[Price]]=0,"No","Yes")</f>
        <v>Yes</v>
      </c>
      <c r="I313" t="s">
        <v>43</v>
      </c>
      <c r="J313" t="s">
        <v>46</v>
      </c>
      <c r="K313">
        <v>15000</v>
      </c>
      <c r="L313">
        <v>1</v>
      </c>
      <c r="M313">
        <v>2023</v>
      </c>
    </row>
    <row r="314" spans="1:13" x14ac:dyDescent="0.35">
      <c r="A314">
        <v>100313</v>
      </c>
      <c r="B314" s="1">
        <v>44940</v>
      </c>
      <c r="C314" t="s">
        <v>28</v>
      </c>
      <c r="D314" t="s">
        <v>34</v>
      </c>
      <c r="E314" t="s">
        <v>39</v>
      </c>
      <c r="F314">
        <v>4</v>
      </c>
      <c r="G314" s="4">
        <v>45000</v>
      </c>
      <c r="H314" s="4" t="str">
        <f>IF(Table2[[#This Row],[Price]]=0,"No","Yes")</f>
        <v>Yes</v>
      </c>
      <c r="I314" t="s">
        <v>41</v>
      </c>
      <c r="J314" t="s">
        <v>45</v>
      </c>
      <c r="K314">
        <v>180000</v>
      </c>
      <c r="L314">
        <v>1</v>
      </c>
      <c r="M314">
        <v>2023</v>
      </c>
    </row>
    <row r="315" spans="1:13" x14ac:dyDescent="0.35">
      <c r="A315">
        <v>100314</v>
      </c>
      <c r="B315" s="1">
        <v>44940.041666666657</v>
      </c>
      <c r="C315" t="s">
        <v>15</v>
      </c>
      <c r="D315" t="s">
        <v>36</v>
      </c>
      <c r="E315" t="s">
        <v>40</v>
      </c>
      <c r="F315">
        <v>5</v>
      </c>
      <c r="G315" s="4">
        <v>22000</v>
      </c>
      <c r="H315" s="4" t="str">
        <f>IF(Table2[[#This Row],[Price]]=0,"No","Yes")</f>
        <v>Yes</v>
      </c>
      <c r="I315" t="s">
        <v>44</v>
      </c>
      <c r="J315" t="s">
        <v>50</v>
      </c>
      <c r="K315">
        <v>110000</v>
      </c>
      <c r="L315">
        <v>1</v>
      </c>
      <c r="M315">
        <v>2023</v>
      </c>
    </row>
    <row r="316" spans="1:13" x14ac:dyDescent="0.35">
      <c r="A316">
        <v>100315</v>
      </c>
      <c r="B316" s="1">
        <v>44940.083333333343</v>
      </c>
      <c r="C316" t="s">
        <v>26</v>
      </c>
      <c r="D316" t="s">
        <v>38</v>
      </c>
      <c r="E316" t="s">
        <v>40</v>
      </c>
      <c r="F316">
        <v>5</v>
      </c>
      <c r="G316" s="4">
        <v>1500</v>
      </c>
      <c r="H316" s="4" t="str">
        <f>IF(Table2[[#This Row],[Price]]=0,"No","Yes")</f>
        <v>Yes</v>
      </c>
      <c r="I316" t="s">
        <v>42</v>
      </c>
      <c r="J316" t="s">
        <v>47</v>
      </c>
      <c r="K316">
        <v>7500</v>
      </c>
      <c r="L316">
        <v>1</v>
      </c>
      <c r="M316">
        <v>2023</v>
      </c>
    </row>
    <row r="317" spans="1:13" x14ac:dyDescent="0.35">
      <c r="A317">
        <v>100316</v>
      </c>
      <c r="B317" s="1">
        <v>44940.125</v>
      </c>
      <c r="C317" t="s">
        <v>12</v>
      </c>
      <c r="D317" t="s">
        <v>32</v>
      </c>
      <c r="E317" t="s">
        <v>39</v>
      </c>
      <c r="F317">
        <v>3</v>
      </c>
      <c r="G317" s="4">
        <v>35000</v>
      </c>
      <c r="H317" s="4" t="str">
        <f>IF(Table2[[#This Row],[Price]]=0,"No","Yes")</f>
        <v>Yes</v>
      </c>
      <c r="I317" t="s">
        <v>43</v>
      </c>
      <c r="J317" t="s">
        <v>48</v>
      </c>
      <c r="K317">
        <v>105000</v>
      </c>
      <c r="L317">
        <v>1</v>
      </c>
      <c r="M317">
        <v>2023</v>
      </c>
    </row>
    <row r="318" spans="1:13" x14ac:dyDescent="0.35">
      <c r="A318">
        <v>100317</v>
      </c>
      <c r="B318" s="1">
        <v>44940.166666666657</v>
      </c>
      <c r="C318" t="s">
        <v>25</v>
      </c>
      <c r="D318" t="s">
        <v>32</v>
      </c>
      <c r="E318" t="s">
        <v>40</v>
      </c>
      <c r="F318">
        <v>2</v>
      </c>
      <c r="G318" s="4">
        <v>35000</v>
      </c>
      <c r="H318" s="4" t="str">
        <f>IF(Table2[[#This Row],[Price]]=0,"No","Yes")</f>
        <v>Yes</v>
      </c>
      <c r="I318" t="s">
        <v>44</v>
      </c>
      <c r="J318" t="s">
        <v>50</v>
      </c>
      <c r="K318">
        <v>70000</v>
      </c>
      <c r="L318">
        <v>1</v>
      </c>
      <c r="M318">
        <v>2023</v>
      </c>
    </row>
    <row r="319" spans="1:13" x14ac:dyDescent="0.35">
      <c r="A319">
        <v>100318</v>
      </c>
      <c r="B319" s="1">
        <v>44940.208333333343</v>
      </c>
      <c r="C319" t="s">
        <v>19</v>
      </c>
      <c r="D319" t="s">
        <v>35</v>
      </c>
      <c r="E319" t="s">
        <v>39</v>
      </c>
      <c r="F319">
        <v>3</v>
      </c>
      <c r="G319" s="4">
        <v>65000</v>
      </c>
      <c r="H319" s="4" t="str">
        <f>IF(Table2[[#This Row],[Price]]=0,"No","Yes")</f>
        <v>Yes</v>
      </c>
      <c r="I319" t="s">
        <v>44</v>
      </c>
      <c r="J319" t="s">
        <v>49</v>
      </c>
      <c r="K319">
        <v>195000</v>
      </c>
      <c r="L319">
        <v>1</v>
      </c>
      <c r="M319">
        <v>2023</v>
      </c>
    </row>
    <row r="320" spans="1:13" x14ac:dyDescent="0.35">
      <c r="A320">
        <v>100319</v>
      </c>
      <c r="B320" s="1">
        <v>44940.25</v>
      </c>
      <c r="C320" t="s">
        <v>29</v>
      </c>
      <c r="D320" t="s">
        <v>38</v>
      </c>
      <c r="E320" t="s">
        <v>39</v>
      </c>
      <c r="F320">
        <v>1</v>
      </c>
      <c r="G320" s="4">
        <v>55000</v>
      </c>
      <c r="H320" s="4" t="str">
        <f>IF(Table2[[#This Row],[Price]]=0,"No","Yes")</f>
        <v>Yes</v>
      </c>
      <c r="I320" t="s">
        <v>41</v>
      </c>
      <c r="J320" t="s">
        <v>46</v>
      </c>
      <c r="K320">
        <v>55000</v>
      </c>
      <c r="L320">
        <v>1</v>
      </c>
      <c r="M320">
        <v>2023</v>
      </c>
    </row>
    <row r="321" spans="1:13" x14ac:dyDescent="0.35">
      <c r="A321">
        <v>100320</v>
      </c>
      <c r="B321" s="1">
        <v>44940.291666666657</v>
      </c>
      <c r="C321" t="s">
        <v>31</v>
      </c>
      <c r="D321" t="s">
        <v>33</v>
      </c>
      <c r="E321" t="s">
        <v>39</v>
      </c>
      <c r="F321">
        <v>2</v>
      </c>
      <c r="G321" s="4">
        <v>45000</v>
      </c>
      <c r="H321" s="4" t="str">
        <f>IF(Table2[[#This Row],[Price]]=0,"No","Yes")</f>
        <v>Yes</v>
      </c>
      <c r="I321" t="s">
        <v>41</v>
      </c>
      <c r="J321" t="s">
        <v>48</v>
      </c>
      <c r="K321">
        <v>90000</v>
      </c>
      <c r="L321">
        <v>1</v>
      </c>
      <c r="M321">
        <v>2023</v>
      </c>
    </row>
    <row r="322" spans="1:13" x14ac:dyDescent="0.35">
      <c r="A322">
        <v>100321</v>
      </c>
      <c r="B322" s="1">
        <v>44940.333333333343</v>
      </c>
      <c r="C322" t="s">
        <v>12</v>
      </c>
      <c r="D322" t="s">
        <v>38</v>
      </c>
      <c r="E322" t="s">
        <v>40</v>
      </c>
      <c r="F322">
        <v>3</v>
      </c>
      <c r="G322" s="4">
        <v>35000</v>
      </c>
      <c r="H322" s="4" t="str">
        <f>IF(Table2[[#This Row],[Price]]=0,"No","Yes")</f>
        <v>Yes</v>
      </c>
      <c r="I322" t="s">
        <v>42</v>
      </c>
      <c r="J322" t="s">
        <v>45</v>
      </c>
      <c r="K322">
        <v>105000</v>
      </c>
      <c r="L322">
        <v>1</v>
      </c>
      <c r="M322">
        <v>2023</v>
      </c>
    </row>
    <row r="323" spans="1:13" x14ac:dyDescent="0.35">
      <c r="A323">
        <v>100322</v>
      </c>
      <c r="B323" s="1">
        <v>44940.375</v>
      </c>
      <c r="C323" t="s">
        <v>18</v>
      </c>
      <c r="D323" t="s">
        <v>36</v>
      </c>
      <c r="E323" t="s">
        <v>40</v>
      </c>
      <c r="F323">
        <v>5</v>
      </c>
      <c r="G323" s="4">
        <v>45000</v>
      </c>
      <c r="H323" s="4" t="str">
        <f>IF(Table2[[#This Row],[Price]]=0,"No","Yes")</f>
        <v>Yes</v>
      </c>
      <c r="I323" t="s">
        <v>44</v>
      </c>
      <c r="J323" t="s">
        <v>45</v>
      </c>
      <c r="K323">
        <v>225000</v>
      </c>
      <c r="L323">
        <v>1</v>
      </c>
      <c r="M323">
        <v>2023</v>
      </c>
    </row>
    <row r="324" spans="1:13" x14ac:dyDescent="0.35">
      <c r="A324">
        <v>100323</v>
      </c>
      <c r="B324" s="1">
        <v>44940.416666666657</v>
      </c>
      <c r="C324" t="s">
        <v>31</v>
      </c>
      <c r="D324" t="s">
        <v>36</v>
      </c>
      <c r="E324" t="s">
        <v>39</v>
      </c>
      <c r="F324">
        <v>3</v>
      </c>
      <c r="G324" s="4">
        <v>2500</v>
      </c>
      <c r="H324" s="4" t="str">
        <f>IF(Table2[[#This Row],[Price]]=0,"No","Yes")</f>
        <v>Yes</v>
      </c>
      <c r="I324" t="s">
        <v>41</v>
      </c>
      <c r="J324" t="s">
        <v>46</v>
      </c>
      <c r="K324">
        <v>7500</v>
      </c>
      <c r="L324">
        <v>1</v>
      </c>
      <c r="M324">
        <v>2023</v>
      </c>
    </row>
    <row r="325" spans="1:13" x14ac:dyDescent="0.35">
      <c r="A325">
        <v>100324</v>
      </c>
      <c r="B325" s="1">
        <v>44940.458333333343</v>
      </c>
      <c r="C325" t="s">
        <v>13</v>
      </c>
      <c r="D325" t="s">
        <v>36</v>
      </c>
      <c r="E325" t="s">
        <v>39</v>
      </c>
      <c r="F325">
        <v>3</v>
      </c>
      <c r="G325" s="4">
        <v>55000</v>
      </c>
      <c r="H325" s="4" t="str">
        <f>IF(Table2[[#This Row],[Price]]=0,"No","Yes")</f>
        <v>Yes</v>
      </c>
      <c r="I325" t="s">
        <v>42</v>
      </c>
      <c r="J325" t="s">
        <v>48</v>
      </c>
      <c r="K325">
        <v>165000</v>
      </c>
      <c r="L325">
        <v>1</v>
      </c>
      <c r="M325">
        <v>2023</v>
      </c>
    </row>
    <row r="326" spans="1:13" x14ac:dyDescent="0.35">
      <c r="A326">
        <v>100325</v>
      </c>
      <c r="B326" s="1">
        <v>44940.5</v>
      </c>
      <c r="C326" t="s">
        <v>23</v>
      </c>
      <c r="D326" t="s">
        <v>35</v>
      </c>
      <c r="E326" t="s">
        <v>40</v>
      </c>
      <c r="F326">
        <v>2</v>
      </c>
      <c r="G326" s="4">
        <v>12000</v>
      </c>
      <c r="H326" s="4" t="str">
        <f>IF(Table2[[#This Row],[Price]]=0,"No","Yes")</f>
        <v>Yes</v>
      </c>
      <c r="I326" t="s">
        <v>41</v>
      </c>
      <c r="J326" t="s">
        <v>51</v>
      </c>
      <c r="K326">
        <v>24000</v>
      </c>
      <c r="L326">
        <v>1</v>
      </c>
      <c r="M326">
        <v>2023</v>
      </c>
    </row>
    <row r="327" spans="1:13" x14ac:dyDescent="0.35">
      <c r="A327">
        <v>100326</v>
      </c>
      <c r="B327" s="1">
        <v>44940.541666666657</v>
      </c>
      <c r="C327" t="s">
        <v>16</v>
      </c>
      <c r="D327" t="s">
        <v>38</v>
      </c>
      <c r="E327" t="s">
        <v>39</v>
      </c>
      <c r="F327">
        <v>1</v>
      </c>
      <c r="G327" s="4">
        <v>1500</v>
      </c>
      <c r="H327" s="4" t="str">
        <f>IF(Table2[[#This Row],[Price]]=0,"No","Yes")</f>
        <v>Yes</v>
      </c>
      <c r="I327" t="s">
        <v>43</v>
      </c>
      <c r="J327" t="s">
        <v>48</v>
      </c>
      <c r="K327">
        <v>1500</v>
      </c>
      <c r="L327">
        <v>1</v>
      </c>
      <c r="M327">
        <v>2023</v>
      </c>
    </row>
    <row r="328" spans="1:13" x14ac:dyDescent="0.35">
      <c r="A328">
        <v>100327</v>
      </c>
      <c r="B328" s="1">
        <v>44940.583333333343</v>
      </c>
      <c r="C328" t="s">
        <v>30</v>
      </c>
      <c r="D328" t="s">
        <v>34</v>
      </c>
      <c r="E328" t="s">
        <v>40</v>
      </c>
      <c r="F328">
        <v>3</v>
      </c>
      <c r="G328" s="4">
        <v>12000</v>
      </c>
      <c r="H328" s="4" t="str">
        <f>IF(Table2[[#This Row],[Price]]=0,"No","Yes")</f>
        <v>Yes</v>
      </c>
      <c r="I328" t="s">
        <v>43</v>
      </c>
      <c r="J328" t="s">
        <v>47</v>
      </c>
      <c r="K328">
        <v>36000</v>
      </c>
      <c r="L328">
        <v>1</v>
      </c>
      <c r="M328">
        <v>2023</v>
      </c>
    </row>
    <row r="329" spans="1:13" x14ac:dyDescent="0.35">
      <c r="A329">
        <v>100328</v>
      </c>
      <c r="B329" s="1">
        <v>44940.625</v>
      </c>
      <c r="C329" t="s">
        <v>26</v>
      </c>
      <c r="D329" t="s">
        <v>38</v>
      </c>
      <c r="E329" t="s">
        <v>39</v>
      </c>
      <c r="F329">
        <v>1</v>
      </c>
      <c r="G329" s="4">
        <v>55000</v>
      </c>
      <c r="H329" s="4" t="str">
        <f>IF(Table2[[#This Row],[Price]]=0,"No","Yes")</f>
        <v>Yes</v>
      </c>
      <c r="I329" t="s">
        <v>41</v>
      </c>
      <c r="J329" t="s">
        <v>47</v>
      </c>
      <c r="K329">
        <v>55000</v>
      </c>
      <c r="L329">
        <v>1</v>
      </c>
      <c r="M329">
        <v>2023</v>
      </c>
    </row>
    <row r="330" spans="1:13" x14ac:dyDescent="0.35">
      <c r="A330">
        <v>100329</v>
      </c>
      <c r="B330" s="1">
        <v>44940.666666666657</v>
      </c>
      <c r="C330" t="s">
        <v>30</v>
      </c>
      <c r="D330" t="s">
        <v>34</v>
      </c>
      <c r="E330" t="s">
        <v>39</v>
      </c>
      <c r="F330">
        <v>3</v>
      </c>
      <c r="G330" s="4">
        <v>35000</v>
      </c>
      <c r="H330" s="4" t="str">
        <f>IF(Table2[[#This Row],[Price]]=0,"No","Yes")</f>
        <v>Yes</v>
      </c>
      <c r="I330" t="s">
        <v>42</v>
      </c>
      <c r="J330" t="s">
        <v>51</v>
      </c>
      <c r="K330">
        <v>105000</v>
      </c>
      <c r="L330">
        <v>1</v>
      </c>
      <c r="M330">
        <v>2023</v>
      </c>
    </row>
    <row r="331" spans="1:13" x14ac:dyDescent="0.35">
      <c r="A331">
        <v>100330</v>
      </c>
      <c r="B331" s="1">
        <v>44940.708333333343</v>
      </c>
      <c r="C331" t="s">
        <v>21</v>
      </c>
      <c r="D331" t="s">
        <v>32</v>
      </c>
      <c r="E331" t="s">
        <v>40</v>
      </c>
      <c r="F331">
        <v>3</v>
      </c>
      <c r="G331" s="4">
        <v>1500</v>
      </c>
      <c r="H331" s="4" t="str">
        <f>IF(Table2[[#This Row],[Price]]=0,"No","Yes")</f>
        <v>Yes</v>
      </c>
      <c r="I331" t="s">
        <v>41</v>
      </c>
      <c r="J331" t="s">
        <v>51</v>
      </c>
      <c r="K331">
        <v>4500</v>
      </c>
      <c r="L331">
        <v>1</v>
      </c>
      <c r="M331">
        <v>2023</v>
      </c>
    </row>
    <row r="332" spans="1:13" x14ac:dyDescent="0.35">
      <c r="A332">
        <v>100331</v>
      </c>
      <c r="B332" s="1">
        <v>44940.75</v>
      </c>
      <c r="C332" t="s">
        <v>17</v>
      </c>
      <c r="D332" t="s">
        <v>34</v>
      </c>
      <c r="E332" t="s">
        <v>39</v>
      </c>
      <c r="F332">
        <v>1</v>
      </c>
      <c r="G332" s="4">
        <v>65000</v>
      </c>
      <c r="H332" s="4" t="str">
        <f>IF(Table2[[#This Row],[Price]]=0,"No","Yes")</f>
        <v>Yes</v>
      </c>
      <c r="I332" t="s">
        <v>41</v>
      </c>
      <c r="J332" t="s">
        <v>46</v>
      </c>
      <c r="K332">
        <v>65000</v>
      </c>
      <c r="L332">
        <v>1</v>
      </c>
      <c r="M332">
        <v>2023</v>
      </c>
    </row>
    <row r="333" spans="1:13" x14ac:dyDescent="0.35">
      <c r="A333">
        <v>100332</v>
      </c>
      <c r="B333" s="1">
        <v>44940.791666666657</v>
      </c>
      <c r="C333" t="s">
        <v>14</v>
      </c>
      <c r="D333" t="s">
        <v>37</v>
      </c>
      <c r="E333" t="s">
        <v>39</v>
      </c>
      <c r="F333">
        <v>2</v>
      </c>
      <c r="G333" s="4">
        <v>35000</v>
      </c>
      <c r="H333" s="4" t="str">
        <f>IF(Table2[[#This Row],[Price]]=0,"No","Yes")</f>
        <v>Yes</v>
      </c>
      <c r="I333" t="s">
        <v>43</v>
      </c>
      <c r="J333" t="s">
        <v>48</v>
      </c>
      <c r="K333">
        <v>70000</v>
      </c>
      <c r="L333">
        <v>1</v>
      </c>
      <c r="M333">
        <v>2023</v>
      </c>
    </row>
    <row r="334" spans="1:13" x14ac:dyDescent="0.35">
      <c r="A334">
        <v>100333</v>
      </c>
      <c r="B334" s="1">
        <v>44940.833333333343</v>
      </c>
      <c r="C334" t="s">
        <v>20</v>
      </c>
      <c r="D334" t="s">
        <v>32</v>
      </c>
      <c r="E334" t="s">
        <v>39</v>
      </c>
      <c r="F334">
        <v>5</v>
      </c>
      <c r="G334" s="4">
        <v>55000</v>
      </c>
      <c r="H334" s="4" t="str">
        <f>IF(Table2[[#This Row],[Price]]=0,"No","Yes")</f>
        <v>Yes</v>
      </c>
      <c r="I334" t="s">
        <v>41</v>
      </c>
      <c r="J334" t="s">
        <v>50</v>
      </c>
      <c r="K334">
        <v>275000</v>
      </c>
      <c r="L334">
        <v>1</v>
      </c>
      <c r="M334">
        <v>2023</v>
      </c>
    </row>
    <row r="335" spans="1:13" x14ac:dyDescent="0.35">
      <c r="A335">
        <v>100334</v>
      </c>
      <c r="B335" s="1">
        <v>44940.875</v>
      </c>
      <c r="C335" t="s">
        <v>20</v>
      </c>
      <c r="D335" t="s">
        <v>33</v>
      </c>
      <c r="E335" t="s">
        <v>40</v>
      </c>
      <c r="F335">
        <v>5</v>
      </c>
      <c r="G335" s="4">
        <v>18000</v>
      </c>
      <c r="H335" s="4" t="str">
        <f>IF(Table2[[#This Row],[Price]]=0,"No","Yes")</f>
        <v>Yes</v>
      </c>
      <c r="I335" t="s">
        <v>44</v>
      </c>
      <c r="J335" t="s">
        <v>47</v>
      </c>
      <c r="K335">
        <v>90000</v>
      </c>
      <c r="L335">
        <v>1</v>
      </c>
      <c r="M335">
        <v>2023</v>
      </c>
    </row>
    <row r="336" spans="1:13" x14ac:dyDescent="0.35">
      <c r="A336">
        <v>100335</v>
      </c>
      <c r="B336" s="1">
        <v>44940.916666666657</v>
      </c>
      <c r="C336" t="s">
        <v>17</v>
      </c>
      <c r="D336" t="s">
        <v>33</v>
      </c>
      <c r="E336" t="s">
        <v>39</v>
      </c>
      <c r="F336">
        <v>1</v>
      </c>
      <c r="G336" s="4">
        <v>2500</v>
      </c>
      <c r="H336" s="4" t="str">
        <f>IF(Table2[[#This Row],[Price]]=0,"No","Yes")</f>
        <v>Yes</v>
      </c>
      <c r="I336" t="s">
        <v>42</v>
      </c>
      <c r="J336" t="s">
        <v>51</v>
      </c>
      <c r="K336">
        <v>2500</v>
      </c>
      <c r="L336">
        <v>1</v>
      </c>
      <c r="M336">
        <v>2023</v>
      </c>
    </row>
    <row r="337" spans="1:13" x14ac:dyDescent="0.35">
      <c r="A337">
        <v>100336</v>
      </c>
      <c r="B337" s="1">
        <v>44940.958333333343</v>
      </c>
      <c r="C337" t="s">
        <v>24</v>
      </c>
      <c r="D337" t="s">
        <v>37</v>
      </c>
      <c r="E337" t="s">
        <v>39</v>
      </c>
      <c r="F337">
        <v>5</v>
      </c>
      <c r="G337" s="4">
        <v>1500</v>
      </c>
      <c r="H337" s="4" t="str">
        <f>IF(Table2[[#This Row],[Price]]=0,"No","Yes")</f>
        <v>Yes</v>
      </c>
      <c r="I337" t="s">
        <v>41</v>
      </c>
      <c r="J337" t="s">
        <v>51</v>
      </c>
      <c r="K337">
        <v>7500</v>
      </c>
      <c r="L337">
        <v>1</v>
      </c>
      <c r="M337">
        <v>2023</v>
      </c>
    </row>
    <row r="338" spans="1:13" x14ac:dyDescent="0.35">
      <c r="A338">
        <v>100337</v>
      </c>
      <c r="B338" s="1">
        <v>44941</v>
      </c>
      <c r="C338" t="s">
        <v>13</v>
      </c>
      <c r="D338" t="s">
        <v>36</v>
      </c>
      <c r="E338" t="s">
        <v>39</v>
      </c>
      <c r="F338">
        <v>3</v>
      </c>
      <c r="G338" s="4">
        <v>45000</v>
      </c>
      <c r="H338" s="4" t="str">
        <f>IF(Table2[[#This Row],[Price]]=0,"No","Yes")</f>
        <v>Yes</v>
      </c>
      <c r="I338" t="s">
        <v>43</v>
      </c>
      <c r="J338" t="s">
        <v>47</v>
      </c>
      <c r="K338">
        <v>135000</v>
      </c>
      <c r="L338">
        <v>1</v>
      </c>
      <c r="M338">
        <v>2023</v>
      </c>
    </row>
    <row r="339" spans="1:13" x14ac:dyDescent="0.35">
      <c r="A339">
        <v>100338</v>
      </c>
      <c r="B339" s="1">
        <v>44941.041666666657</v>
      </c>
      <c r="C339" t="s">
        <v>25</v>
      </c>
      <c r="D339" t="s">
        <v>37</v>
      </c>
      <c r="E339" t="s">
        <v>39</v>
      </c>
      <c r="F339">
        <v>5</v>
      </c>
      <c r="G339" s="4">
        <v>45000</v>
      </c>
      <c r="H339" s="4" t="str">
        <f>IF(Table2[[#This Row],[Price]]=0,"No","Yes")</f>
        <v>Yes</v>
      </c>
      <c r="I339" t="s">
        <v>41</v>
      </c>
      <c r="J339" t="s">
        <v>48</v>
      </c>
      <c r="K339">
        <v>225000</v>
      </c>
      <c r="L339">
        <v>1</v>
      </c>
      <c r="M339">
        <v>2023</v>
      </c>
    </row>
    <row r="340" spans="1:13" x14ac:dyDescent="0.35">
      <c r="A340">
        <v>100339</v>
      </c>
      <c r="B340" s="1">
        <v>44941.083333333343</v>
      </c>
      <c r="C340" t="s">
        <v>22</v>
      </c>
      <c r="D340" t="s">
        <v>38</v>
      </c>
      <c r="E340" t="s">
        <v>40</v>
      </c>
      <c r="F340">
        <v>5</v>
      </c>
      <c r="G340" s="4">
        <v>5000</v>
      </c>
      <c r="H340" s="4" t="str">
        <f>IF(Table2[[#This Row],[Price]]=0,"No","Yes")</f>
        <v>Yes</v>
      </c>
      <c r="I340" t="s">
        <v>42</v>
      </c>
      <c r="J340" t="s">
        <v>48</v>
      </c>
      <c r="K340">
        <v>25000</v>
      </c>
      <c r="L340">
        <v>1</v>
      </c>
      <c r="M340">
        <v>2023</v>
      </c>
    </row>
    <row r="341" spans="1:13" x14ac:dyDescent="0.35">
      <c r="A341">
        <v>100340</v>
      </c>
      <c r="B341" s="1">
        <v>44941.125</v>
      </c>
      <c r="C341" t="s">
        <v>14</v>
      </c>
      <c r="D341" t="s">
        <v>36</v>
      </c>
      <c r="E341" t="s">
        <v>40</v>
      </c>
      <c r="F341">
        <v>3</v>
      </c>
      <c r="G341" s="4">
        <v>1500</v>
      </c>
      <c r="H341" s="4" t="str">
        <f>IF(Table2[[#This Row],[Price]]=0,"No","Yes")</f>
        <v>Yes</v>
      </c>
      <c r="I341" t="s">
        <v>41</v>
      </c>
      <c r="J341" t="s">
        <v>45</v>
      </c>
      <c r="K341">
        <v>4500</v>
      </c>
      <c r="L341">
        <v>1</v>
      </c>
      <c r="M341">
        <v>2023</v>
      </c>
    </row>
    <row r="342" spans="1:13" x14ac:dyDescent="0.35">
      <c r="A342">
        <v>100341</v>
      </c>
      <c r="B342" s="1">
        <v>44941.166666666657</v>
      </c>
      <c r="C342" t="s">
        <v>15</v>
      </c>
      <c r="D342" t="s">
        <v>38</v>
      </c>
      <c r="E342" t="s">
        <v>40</v>
      </c>
      <c r="F342">
        <v>2</v>
      </c>
      <c r="G342" s="4">
        <v>22000</v>
      </c>
      <c r="H342" s="4" t="str">
        <f>IF(Table2[[#This Row],[Price]]=0,"No","Yes")</f>
        <v>Yes</v>
      </c>
      <c r="I342" t="s">
        <v>42</v>
      </c>
      <c r="J342" t="s">
        <v>48</v>
      </c>
      <c r="K342">
        <v>44000</v>
      </c>
      <c r="L342">
        <v>1</v>
      </c>
      <c r="M342">
        <v>2023</v>
      </c>
    </row>
    <row r="343" spans="1:13" x14ac:dyDescent="0.35">
      <c r="A343">
        <v>100342</v>
      </c>
      <c r="B343" s="1">
        <v>44941.208333333343</v>
      </c>
      <c r="C343" t="s">
        <v>27</v>
      </c>
      <c r="D343" t="s">
        <v>34</v>
      </c>
      <c r="E343" t="s">
        <v>39</v>
      </c>
      <c r="F343">
        <v>4</v>
      </c>
      <c r="G343" s="4">
        <v>65000</v>
      </c>
      <c r="H343" s="4" t="str">
        <f>IF(Table2[[#This Row],[Price]]=0,"No","Yes")</f>
        <v>Yes</v>
      </c>
      <c r="I343" t="s">
        <v>44</v>
      </c>
      <c r="J343" t="s">
        <v>45</v>
      </c>
      <c r="K343">
        <v>260000</v>
      </c>
      <c r="L343">
        <v>1</v>
      </c>
      <c r="M343">
        <v>2023</v>
      </c>
    </row>
    <row r="344" spans="1:13" x14ac:dyDescent="0.35">
      <c r="A344">
        <v>100343</v>
      </c>
      <c r="B344" s="1">
        <v>44941.25</v>
      </c>
      <c r="C344" t="s">
        <v>23</v>
      </c>
      <c r="D344" t="s">
        <v>38</v>
      </c>
      <c r="E344" t="s">
        <v>40</v>
      </c>
      <c r="F344">
        <v>3</v>
      </c>
      <c r="G344" s="4">
        <v>22000</v>
      </c>
      <c r="H344" s="4" t="str">
        <f>IF(Table2[[#This Row],[Price]]=0,"No","Yes")</f>
        <v>Yes</v>
      </c>
      <c r="I344" t="s">
        <v>41</v>
      </c>
      <c r="J344" t="s">
        <v>48</v>
      </c>
      <c r="K344">
        <v>66000</v>
      </c>
      <c r="L344">
        <v>1</v>
      </c>
      <c r="M344">
        <v>2023</v>
      </c>
    </row>
    <row r="345" spans="1:13" x14ac:dyDescent="0.35">
      <c r="A345">
        <v>100344</v>
      </c>
      <c r="B345" s="1">
        <v>44941.291666666657</v>
      </c>
      <c r="C345" t="s">
        <v>16</v>
      </c>
      <c r="D345" t="s">
        <v>34</v>
      </c>
      <c r="E345" t="s">
        <v>39</v>
      </c>
      <c r="F345">
        <v>3</v>
      </c>
      <c r="G345" s="4">
        <v>1500</v>
      </c>
      <c r="H345" s="4" t="str">
        <f>IF(Table2[[#This Row],[Price]]=0,"No","Yes")</f>
        <v>Yes</v>
      </c>
      <c r="I345" t="s">
        <v>42</v>
      </c>
      <c r="J345" t="s">
        <v>46</v>
      </c>
      <c r="K345">
        <v>4500</v>
      </c>
      <c r="L345">
        <v>1</v>
      </c>
      <c r="M345">
        <v>2023</v>
      </c>
    </row>
    <row r="346" spans="1:13" x14ac:dyDescent="0.35">
      <c r="A346">
        <v>100345</v>
      </c>
      <c r="B346" s="1">
        <v>44941.333333333343</v>
      </c>
      <c r="C346" t="s">
        <v>21</v>
      </c>
      <c r="D346" t="s">
        <v>38</v>
      </c>
      <c r="E346" t="s">
        <v>39</v>
      </c>
      <c r="F346">
        <v>5</v>
      </c>
      <c r="G346" s="4">
        <v>22000</v>
      </c>
      <c r="H346" s="4" t="str">
        <f>IF(Table2[[#This Row],[Price]]=0,"No","Yes")</f>
        <v>Yes</v>
      </c>
      <c r="I346" t="s">
        <v>42</v>
      </c>
      <c r="J346" t="s">
        <v>46</v>
      </c>
      <c r="K346">
        <v>110000</v>
      </c>
      <c r="L346">
        <v>1</v>
      </c>
      <c r="M346">
        <v>2023</v>
      </c>
    </row>
    <row r="347" spans="1:13" x14ac:dyDescent="0.35">
      <c r="A347">
        <v>100346</v>
      </c>
      <c r="B347" s="1">
        <v>44941.375</v>
      </c>
      <c r="C347" t="s">
        <v>21</v>
      </c>
      <c r="D347" t="s">
        <v>37</v>
      </c>
      <c r="E347" t="s">
        <v>40</v>
      </c>
      <c r="F347">
        <v>4</v>
      </c>
      <c r="G347" s="4">
        <v>12000</v>
      </c>
      <c r="H347" s="4" t="str">
        <f>IF(Table2[[#This Row],[Price]]=0,"No","Yes")</f>
        <v>Yes</v>
      </c>
      <c r="I347" t="s">
        <v>44</v>
      </c>
      <c r="J347" t="s">
        <v>45</v>
      </c>
      <c r="K347">
        <v>48000</v>
      </c>
      <c r="L347">
        <v>1</v>
      </c>
      <c r="M347">
        <v>2023</v>
      </c>
    </row>
    <row r="348" spans="1:13" x14ac:dyDescent="0.35">
      <c r="A348">
        <v>100347</v>
      </c>
      <c r="B348" s="1">
        <v>44941.416666666657</v>
      </c>
      <c r="C348" t="s">
        <v>27</v>
      </c>
      <c r="D348" t="s">
        <v>37</v>
      </c>
      <c r="E348" t="s">
        <v>40</v>
      </c>
      <c r="F348">
        <v>4</v>
      </c>
      <c r="G348" s="4">
        <v>35000</v>
      </c>
      <c r="H348" s="4" t="str">
        <f>IF(Table2[[#This Row],[Price]]=0,"No","Yes")</f>
        <v>Yes</v>
      </c>
      <c r="I348" t="s">
        <v>43</v>
      </c>
      <c r="J348" t="s">
        <v>49</v>
      </c>
      <c r="K348">
        <v>140000</v>
      </c>
      <c r="L348">
        <v>1</v>
      </c>
      <c r="M348">
        <v>2023</v>
      </c>
    </row>
    <row r="349" spans="1:13" x14ac:dyDescent="0.35">
      <c r="A349">
        <v>100348</v>
      </c>
      <c r="B349" s="1">
        <v>44941.458333333343</v>
      </c>
      <c r="C349" t="s">
        <v>12</v>
      </c>
      <c r="D349" t="s">
        <v>37</v>
      </c>
      <c r="E349" t="s">
        <v>39</v>
      </c>
      <c r="F349">
        <v>2</v>
      </c>
      <c r="G349" s="4">
        <v>1500</v>
      </c>
      <c r="H349" s="4" t="str">
        <f>IF(Table2[[#This Row],[Price]]=0,"No","Yes")</f>
        <v>Yes</v>
      </c>
      <c r="I349" t="s">
        <v>43</v>
      </c>
      <c r="J349" t="s">
        <v>49</v>
      </c>
      <c r="K349">
        <v>3000</v>
      </c>
      <c r="L349">
        <v>1</v>
      </c>
      <c r="M349">
        <v>2023</v>
      </c>
    </row>
    <row r="350" spans="1:13" x14ac:dyDescent="0.35">
      <c r="A350">
        <v>100349</v>
      </c>
      <c r="B350" s="1">
        <v>44941.5</v>
      </c>
      <c r="C350" t="s">
        <v>18</v>
      </c>
      <c r="D350" t="s">
        <v>37</v>
      </c>
      <c r="E350" t="s">
        <v>40</v>
      </c>
      <c r="F350">
        <v>5</v>
      </c>
      <c r="G350" s="4">
        <v>35000</v>
      </c>
      <c r="H350" s="4" t="str">
        <f>IF(Table2[[#This Row],[Price]]=0,"No","Yes")</f>
        <v>Yes</v>
      </c>
      <c r="I350" t="s">
        <v>42</v>
      </c>
      <c r="J350" t="s">
        <v>49</v>
      </c>
      <c r="K350">
        <v>175000</v>
      </c>
      <c r="L350">
        <v>1</v>
      </c>
      <c r="M350">
        <v>2023</v>
      </c>
    </row>
    <row r="351" spans="1:13" x14ac:dyDescent="0.35">
      <c r="A351">
        <v>100350</v>
      </c>
      <c r="B351" s="1">
        <v>44941.541666666657</v>
      </c>
      <c r="C351" t="s">
        <v>22</v>
      </c>
      <c r="D351" t="s">
        <v>32</v>
      </c>
      <c r="E351" t="s">
        <v>40</v>
      </c>
      <c r="F351">
        <v>5</v>
      </c>
      <c r="G351" s="4">
        <v>12000</v>
      </c>
      <c r="H351" s="4" t="str">
        <f>IF(Table2[[#This Row],[Price]]=0,"No","Yes")</f>
        <v>Yes</v>
      </c>
      <c r="I351" t="s">
        <v>42</v>
      </c>
      <c r="J351" t="s">
        <v>47</v>
      </c>
      <c r="K351">
        <v>60000</v>
      </c>
      <c r="L351">
        <v>1</v>
      </c>
      <c r="M351">
        <v>2023</v>
      </c>
    </row>
    <row r="352" spans="1:13" x14ac:dyDescent="0.35">
      <c r="A352">
        <v>100351</v>
      </c>
      <c r="B352" s="1">
        <v>44941.583333333343</v>
      </c>
      <c r="C352" t="s">
        <v>31</v>
      </c>
      <c r="D352" t="s">
        <v>34</v>
      </c>
      <c r="E352" t="s">
        <v>40</v>
      </c>
      <c r="F352">
        <v>4</v>
      </c>
      <c r="G352" s="4">
        <v>18000</v>
      </c>
      <c r="H352" s="4" t="str">
        <f>IF(Table2[[#This Row],[Price]]=0,"No","Yes")</f>
        <v>Yes</v>
      </c>
      <c r="I352" t="s">
        <v>42</v>
      </c>
      <c r="J352" t="s">
        <v>49</v>
      </c>
      <c r="K352">
        <v>72000</v>
      </c>
      <c r="L352">
        <v>1</v>
      </c>
      <c r="M352">
        <v>2023</v>
      </c>
    </row>
    <row r="353" spans="1:13" x14ac:dyDescent="0.35">
      <c r="A353">
        <v>100352</v>
      </c>
      <c r="B353" s="1">
        <v>44941.625</v>
      </c>
      <c r="C353" t="s">
        <v>13</v>
      </c>
      <c r="D353" t="s">
        <v>37</v>
      </c>
      <c r="E353" t="s">
        <v>40</v>
      </c>
      <c r="F353">
        <v>4</v>
      </c>
      <c r="G353" s="4">
        <v>65000</v>
      </c>
      <c r="H353" s="4" t="str">
        <f>IF(Table2[[#This Row],[Price]]=0,"No","Yes")</f>
        <v>Yes</v>
      </c>
      <c r="I353" t="s">
        <v>41</v>
      </c>
      <c r="J353" t="s">
        <v>45</v>
      </c>
      <c r="K353">
        <v>260000</v>
      </c>
      <c r="L353">
        <v>1</v>
      </c>
      <c r="M353">
        <v>2023</v>
      </c>
    </row>
    <row r="354" spans="1:13" x14ac:dyDescent="0.35">
      <c r="A354">
        <v>100353</v>
      </c>
      <c r="B354" s="1">
        <v>44941.666666666657</v>
      </c>
      <c r="C354" t="s">
        <v>14</v>
      </c>
      <c r="D354" t="s">
        <v>36</v>
      </c>
      <c r="E354" t="s">
        <v>39</v>
      </c>
      <c r="F354">
        <v>2</v>
      </c>
      <c r="G354" s="4">
        <v>45000</v>
      </c>
      <c r="H354" s="4" t="str">
        <f>IF(Table2[[#This Row],[Price]]=0,"No","Yes")</f>
        <v>Yes</v>
      </c>
      <c r="I354" t="s">
        <v>42</v>
      </c>
      <c r="J354" t="s">
        <v>45</v>
      </c>
      <c r="K354">
        <v>90000</v>
      </c>
      <c r="L354">
        <v>1</v>
      </c>
      <c r="M354">
        <v>2023</v>
      </c>
    </row>
    <row r="355" spans="1:13" x14ac:dyDescent="0.35">
      <c r="A355">
        <v>100354</v>
      </c>
      <c r="B355" s="1">
        <v>44941.708333333343</v>
      </c>
      <c r="C355" t="s">
        <v>19</v>
      </c>
      <c r="D355" t="s">
        <v>36</v>
      </c>
      <c r="E355" t="s">
        <v>40</v>
      </c>
      <c r="F355">
        <v>5</v>
      </c>
      <c r="G355" s="4">
        <v>2500</v>
      </c>
      <c r="H355" s="4" t="str">
        <f>IF(Table2[[#This Row],[Price]]=0,"No","Yes")</f>
        <v>Yes</v>
      </c>
      <c r="I355" t="s">
        <v>42</v>
      </c>
      <c r="J355" t="s">
        <v>46</v>
      </c>
      <c r="K355">
        <v>12500</v>
      </c>
      <c r="L355">
        <v>1</v>
      </c>
      <c r="M355">
        <v>2023</v>
      </c>
    </row>
    <row r="356" spans="1:13" x14ac:dyDescent="0.35">
      <c r="A356">
        <v>100355</v>
      </c>
      <c r="B356" s="1">
        <v>44941.75</v>
      </c>
      <c r="C356" t="s">
        <v>16</v>
      </c>
      <c r="D356" t="s">
        <v>36</v>
      </c>
      <c r="E356" t="s">
        <v>39</v>
      </c>
      <c r="F356">
        <v>2</v>
      </c>
      <c r="G356" s="4">
        <v>18000</v>
      </c>
      <c r="H356" s="4" t="str">
        <f>IF(Table2[[#This Row],[Price]]=0,"No","Yes")</f>
        <v>Yes</v>
      </c>
      <c r="I356" t="s">
        <v>43</v>
      </c>
      <c r="J356" t="s">
        <v>47</v>
      </c>
      <c r="K356">
        <v>36000</v>
      </c>
      <c r="L356">
        <v>1</v>
      </c>
      <c r="M356">
        <v>2023</v>
      </c>
    </row>
    <row r="357" spans="1:13" x14ac:dyDescent="0.35">
      <c r="A357">
        <v>100356</v>
      </c>
      <c r="B357" s="1">
        <v>44941.791666666657</v>
      </c>
      <c r="C357" t="s">
        <v>13</v>
      </c>
      <c r="D357" t="s">
        <v>36</v>
      </c>
      <c r="E357" t="s">
        <v>39</v>
      </c>
      <c r="F357">
        <v>3</v>
      </c>
      <c r="G357" s="4">
        <v>45000</v>
      </c>
      <c r="H357" s="4" t="str">
        <f>IF(Table2[[#This Row],[Price]]=0,"No","Yes")</f>
        <v>Yes</v>
      </c>
      <c r="I357" t="s">
        <v>43</v>
      </c>
      <c r="J357" t="s">
        <v>45</v>
      </c>
      <c r="K357">
        <v>135000</v>
      </c>
      <c r="L357">
        <v>1</v>
      </c>
      <c r="M357">
        <v>2023</v>
      </c>
    </row>
    <row r="358" spans="1:13" x14ac:dyDescent="0.35">
      <c r="A358">
        <v>100357</v>
      </c>
      <c r="B358" s="1">
        <v>44941.833333333343</v>
      </c>
      <c r="C358" t="s">
        <v>26</v>
      </c>
      <c r="D358" t="s">
        <v>32</v>
      </c>
      <c r="E358" t="s">
        <v>39</v>
      </c>
      <c r="F358">
        <v>2</v>
      </c>
      <c r="G358" s="4">
        <v>45000</v>
      </c>
      <c r="H358" s="4" t="str">
        <f>IF(Table2[[#This Row],[Price]]=0,"No","Yes")</f>
        <v>Yes</v>
      </c>
      <c r="I358" t="s">
        <v>41</v>
      </c>
      <c r="J358" t="s">
        <v>49</v>
      </c>
      <c r="K358">
        <v>90000</v>
      </c>
      <c r="L358">
        <v>1</v>
      </c>
      <c r="M358">
        <v>2023</v>
      </c>
    </row>
    <row r="359" spans="1:13" x14ac:dyDescent="0.35">
      <c r="A359">
        <v>100358</v>
      </c>
      <c r="B359" s="1">
        <v>44941.875</v>
      </c>
      <c r="C359" t="s">
        <v>31</v>
      </c>
      <c r="D359" t="s">
        <v>32</v>
      </c>
      <c r="E359" t="s">
        <v>40</v>
      </c>
      <c r="F359">
        <v>3</v>
      </c>
      <c r="G359" s="4">
        <v>35000</v>
      </c>
      <c r="H359" s="4" t="str">
        <f>IF(Table2[[#This Row],[Price]]=0,"No","Yes")</f>
        <v>Yes</v>
      </c>
      <c r="I359" t="s">
        <v>44</v>
      </c>
      <c r="J359" t="s">
        <v>48</v>
      </c>
      <c r="K359">
        <v>105000</v>
      </c>
      <c r="L359">
        <v>1</v>
      </c>
      <c r="M359">
        <v>2023</v>
      </c>
    </row>
    <row r="360" spans="1:13" x14ac:dyDescent="0.35">
      <c r="A360">
        <v>100359</v>
      </c>
      <c r="B360" s="1">
        <v>44941.916666666657</v>
      </c>
      <c r="C360" t="s">
        <v>29</v>
      </c>
      <c r="D360" t="s">
        <v>35</v>
      </c>
      <c r="E360" t="s">
        <v>40</v>
      </c>
      <c r="F360">
        <v>1</v>
      </c>
      <c r="G360" s="4">
        <v>45000</v>
      </c>
      <c r="H360" s="4" t="str">
        <f>IF(Table2[[#This Row],[Price]]=0,"No","Yes")</f>
        <v>Yes</v>
      </c>
      <c r="I360" t="s">
        <v>41</v>
      </c>
      <c r="J360" t="s">
        <v>51</v>
      </c>
      <c r="K360">
        <v>45000</v>
      </c>
      <c r="L360">
        <v>1</v>
      </c>
      <c r="M360">
        <v>2023</v>
      </c>
    </row>
    <row r="361" spans="1:13" x14ac:dyDescent="0.35">
      <c r="A361">
        <v>100360</v>
      </c>
      <c r="B361" s="1">
        <v>44941.958333333343</v>
      </c>
      <c r="C361" t="s">
        <v>25</v>
      </c>
      <c r="D361" t="s">
        <v>35</v>
      </c>
      <c r="E361" t="s">
        <v>40</v>
      </c>
      <c r="F361">
        <v>2</v>
      </c>
      <c r="G361" s="4">
        <v>22000</v>
      </c>
      <c r="H361" s="4" t="str">
        <f>IF(Table2[[#This Row],[Price]]=0,"No","Yes")</f>
        <v>Yes</v>
      </c>
      <c r="I361" t="s">
        <v>43</v>
      </c>
      <c r="J361" t="s">
        <v>49</v>
      </c>
      <c r="K361">
        <v>44000</v>
      </c>
      <c r="L361">
        <v>1</v>
      </c>
      <c r="M361">
        <v>2023</v>
      </c>
    </row>
    <row r="362" spans="1:13" x14ac:dyDescent="0.35">
      <c r="A362">
        <v>100361</v>
      </c>
      <c r="B362" s="1">
        <v>44942</v>
      </c>
      <c r="C362" t="s">
        <v>17</v>
      </c>
      <c r="D362" t="s">
        <v>37</v>
      </c>
      <c r="E362" t="s">
        <v>39</v>
      </c>
      <c r="F362">
        <v>5</v>
      </c>
      <c r="G362" s="4">
        <v>2500</v>
      </c>
      <c r="H362" s="4" t="str">
        <f>IF(Table2[[#This Row],[Price]]=0,"No","Yes")</f>
        <v>Yes</v>
      </c>
      <c r="I362" t="s">
        <v>42</v>
      </c>
      <c r="J362" t="s">
        <v>46</v>
      </c>
      <c r="K362">
        <v>12500</v>
      </c>
      <c r="L362">
        <v>1</v>
      </c>
      <c r="M362">
        <v>2023</v>
      </c>
    </row>
    <row r="363" spans="1:13" x14ac:dyDescent="0.35">
      <c r="A363">
        <v>100362</v>
      </c>
      <c r="B363" s="1">
        <v>44942.041666666657</v>
      </c>
      <c r="C363" t="s">
        <v>24</v>
      </c>
      <c r="D363" t="s">
        <v>35</v>
      </c>
      <c r="E363" t="s">
        <v>39</v>
      </c>
      <c r="F363">
        <v>5</v>
      </c>
      <c r="G363" s="4">
        <v>18000</v>
      </c>
      <c r="H363" s="4" t="str">
        <f>IF(Table2[[#This Row],[Price]]=0,"No","Yes")</f>
        <v>Yes</v>
      </c>
      <c r="I363" t="s">
        <v>43</v>
      </c>
      <c r="J363" t="s">
        <v>46</v>
      </c>
      <c r="K363">
        <v>90000</v>
      </c>
      <c r="L363">
        <v>1</v>
      </c>
      <c r="M363">
        <v>2023</v>
      </c>
    </row>
    <row r="364" spans="1:13" x14ac:dyDescent="0.35">
      <c r="A364">
        <v>100363</v>
      </c>
      <c r="B364" s="1">
        <v>44942.083333333343</v>
      </c>
      <c r="C364" t="s">
        <v>17</v>
      </c>
      <c r="D364" t="s">
        <v>33</v>
      </c>
      <c r="E364" t="s">
        <v>39</v>
      </c>
      <c r="F364">
        <v>4</v>
      </c>
      <c r="G364" s="4">
        <v>65000</v>
      </c>
      <c r="H364" s="4" t="str">
        <f>IF(Table2[[#This Row],[Price]]=0,"No","Yes")</f>
        <v>Yes</v>
      </c>
      <c r="I364" t="s">
        <v>44</v>
      </c>
      <c r="J364" t="s">
        <v>46</v>
      </c>
      <c r="K364">
        <v>260000</v>
      </c>
      <c r="L364">
        <v>1</v>
      </c>
      <c r="M364">
        <v>2023</v>
      </c>
    </row>
    <row r="365" spans="1:13" x14ac:dyDescent="0.35">
      <c r="A365">
        <v>100364</v>
      </c>
      <c r="B365" s="1">
        <v>44942.125</v>
      </c>
      <c r="C365" t="s">
        <v>27</v>
      </c>
      <c r="D365" t="s">
        <v>37</v>
      </c>
      <c r="E365" t="s">
        <v>40</v>
      </c>
      <c r="F365">
        <v>1</v>
      </c>
      <c r="G365" s="4">
        <v>2500</v>
      </c>
      <c r="H365" s="4" t="str">
        <f>IF(Table2[[#This Row],[Price]]=0,"No","Yes")</f>
        <v>Yes</v>
      </c>
      <c r="I365" t="s">
        <v>42</v>
      </c>
      <c r="J365" t="s">
        <v>51</v>
      </c>
      <c r="K365">
        <v>2500</v>
      </c>
      <c r="L365">
        <v>1</v>
      </c>
      <c r="M365">
        <v>2023</v>
      </c>
    </row>
    <row r="366" spans="1:13" x14ac:dyDescent="0.35">
      <c r="A366">
        <v>100365</v>
      </c>
      <c r="B366" s="1">
        <v>44942.166666666657</v>
      </c>
      <c r="C366" t="s">
        <v>28</v>
      </c>
      <c r="D366" t="s">
        <v>35</v>
      </c>
      <c r="E366" t="s">
        <v>40</v>
      </c>
      <c r="F366">
        <v>4</v>
      </c>
      <c r="G366" s="4">
        <v>5000</v>
      </c>
      <c r="H366" s="4" t="str">
        <f>IF(Table2[[#This Row],[Price]]=0,"No","Yes")</f>
        <v>Yes</v>
      </c>
      <c r="I366" t="s">
        <v>43</v>
      </c>
      <c r="J366" t="s">
        <v>49</v>
      </c>
      <c r="K366">
        <v>20000</v>
      </c>
      <c r="L366">
        <v>1</v>
      </c>
      <c r="M366">
        <v>2023</v>
      </c>
    </row>
    <row r="367" spans="1:13" x14ac:dyDescent="0.35">
      <c r="A367">
        <v>100366</v>
      </c>
      <c r="B367" s="1">
        <v>44942.208333333343</v>
      </c>
      <c r="C367" t="s">
        <v>21</v>
      </c>
      <c r="D367" t="s">
        <v>38</v>
      </c>
      <c r="E367" t="s">
        <v>39</v>
      </c>
      <c r="F367">
        <v>4</v>
      </c>
      <c r="G367" s="4">
        <v>35000</v>
      </c>
      <c r="H367" s="4" t="str">
        <f>IF(Table2[[#This Row],[Price]]=0,"No","Yes")</f>
        <v>Yes</v>
      </c>
      <c r="I367" t="s">
        <v>44</v>
      </c>
      <c r="J367" t="s">
        <v>49</v>
      </c>
      <c r="K367">
        <v>140000</v>
      </c>
      <c r="L367">
        <v>1</v>
      </c>
      <c r="M367">
        <v>2023</v>
      </c>
    </row>
    <row r="368" spans="1:13" x14ac:dyDescent="0.35">
      <c r="A368">
        <v>100367</v>
      </c>
      <c r="B368" s="1">
        <v>44942.25</v>
      </c>
      <c r="C368" t="s">
        <v>23</v>
      </c>
      <c r="D368" t="s">
        <v>33</v>
      </c>
      <c r="E368" t="s">
        <v>40</v>
      </c>
      <c r="F368">
        <v>5</v>
      </c>
      <c r="G368" s="4">
        <v>55000</v>
      </c>
      <c r="H368" s="4" t="str">
        <f>IF(Table2[[#This Row],[Price]]=0,"No","Yes")</f>
        <v>Yes</v>
      </c>
      <c r="I368" t="s">
        <v>42</v>
      </c>
      <c r="J368" t="s">
        <v>50</v>
      </c>
      <c r="K368">
        <v>275000</v>
      </c>
      <c r="L368">
        <v>1</v>
      </c>
      <c r="M368">
        <v>2023</v>
      </c>
    </row>
    <row r="369" spans="1:13" x14ac:dyDescent="0.35">
      <c r="A369">
        <v>100368</v>
      </c>
      <c r="B369" s="1">
        <v>44942.291666666657</v>
      </c>
      <c r="C369" t="s">
        <v>23</v>
      </c>
      <c r="D369" t="s">
        <v>34</v>
      </c>
      <c r="E369" t="s">
        <v>39</v>
      </c>
      <c r="F369">
        <v>2</v>
      </c>
      <c r="G369" s="4">
        <v>2500</v>
      </c>
      <c r="H369" s="4" t="str">
        <f>IF(Table2[[#This Row],[Price]]=0,"No","Yes")</f>
        <v>Yes</v>
      </c>
      <c r="I369" t="s">
        <v>42</v>
      </c>
      <c r="J369" t="s">
        <v>48</v>
      </c>
      <c r="K369">
        <v>5000</v>
      </c>
      <c r="L369">
        <v>1</v>
      </c>
      <c r="M369">
        <v>2023</v>
      </c>
    </row>
    <row r="370" spans="1:13" x14ac:dyDescent="0.35">
      <c r="A370">
        <v>100369</v>
      </c>
      <c r="B370" s="1">
        <v>44942.333333333343</v>
      </c>
      <c r="C370" t="s">
        <v>14</v>
      </c>
      <c r="D370" t="s">
        <v>36</v>
      </c>
      <c r="E370" t="s">
        <v>39</v>
      </c>
      <c r="F370">
        <v>3</v>
      </c>
      <c r="G370" s="4">
        <v>65000</v>
      </c>
      <c r="H370" s="4" t="str">
        <f>IF(Table2[[#This Row],[Price]]=0,"No","Yes")</f>
        <v>Yes</v>
      </c>
      <c r="I370" t="s">
        <v>44</v>
      </c>
      <c r="J370" t="s">
        <v>50</v>
      </c>
      <c r="K370">
        <v>195000</v>
      </c>
      <c r="L370">
        <v>1</v>
      </c>
      <c r="M370">
        <v>2023</v>
      </c>
    </row>
    <row r="371" spans="1:13" x14ac:dyDescent="0.35">
      <c r="A371">
        <v>100370</v>
      </c>
      <c r="B371" s="1">
        <v>44942.375</v>
      </c>
      <c r="C371" t="s">
        <v>20</v>
      </c>
      <c r="D371" t="s">
        <v>38</v>
      </c>
      <c r="E371" t="s">
        <v>39</v>
      </c>
      <c r="F371">
        <v>1</v>
      </c>
      <c r="G371" s="4">
        <v>35000</v>
      </c>
      <c r="H371" s="4" t="str">
        <f>IF(Table2[[#This Row],[Price]]=0,"No","Yes")</f>
        <v>Yes</v>
      </c>
      <c r="I371" t="s">
        <v>43</v>
      </c>
      <c r="J371" t="s">
        <v>47</v>
      </c>
      <c r="K371">
        <v>35000</v>
      </c>
      <c r="L371">
        <v>1</v>
      </c>
      <c r="M371">
        <v>2023</v>
      </c>
    </row>
    <row r="372" spans="1:13" x14ac:dyDescent="0.35">
      <c r="A372">
        <v>100371</v>
      </c>
      <c r="B372" s="1">
        <v>44942.416666666657</v>
      </c>
      <c r="C372" t="s">
        <v>26</v>
      </c>
      <c r="D372" t="s">
        <v>33</v>
      </c>
      <c r="E372" t="s">
        <v>39</v>
      </c>
      <c r="F372">
        <v>4</v>
      </c>
      <c r="G372" s="4">
        <v>22000</v>
      </c>
      <c r="H372" s="4" t="str">
        <f>IF(Table2[[#This Row],[Price]]=0,"No","Yes")</f>
        <v>Yes</v>
      </c>
      <c r="I372" t="s">
        <v>44</v>
      </c>
      <c r="J372" t="s">
        <v>51</v>
      </c>
      <c r="K372">
        <v>88000</v>
      </c>
      <c r="L372">
        <v>1</v>
      </c>
      <c r="M372">
        <v>2023</v>
      </c>
    </row>
    <row r="373" spans="1:13" x14ac:dyDescent="0.35">
      <c r="A373">
        <v>100372</v>
      </c>
      <c r="B373" s="1">
        <v>44942.458333333343</v>
      </c>
      <c r="C373" t="s">
        <v>16</v>
      </c>
      <c r="D373" t="s">
        <v>37</v>
      </c>
      <c r="E373" t="s">
        <v>40</v>
      </c>
      <c r="F373">
        <v>3</v>
      </c>
      <c r="G373" s="4">
        <v>18000</v>
      </c>
      <c r="H373" s="4" t="str">
        <f>IF(Table2[[#This Row],[Price]]=0,"No","Yes")</f>
        <v>Yes</v>
      </c>
      <c r="I373" t="s">
        <v>44</v>
      </c>
      <c r="J373" t="s">
        <v>46</v>
      </c>
      <c r="K373">
        <v>54000</v>
      </c>
      <c r="L373">
        <v>1</v>
      </c>
      <c r="M373">
        <v>2023</v>
      </c>
    </row>
    <row r="374" spans="1:13" hidden="1" x14ac:dyDescent="0.35">
      <c r="A374">
        <v>100373</v>
      </c>
      <c r="B374" s="1">
        <v>44942.5</v>
      </c>
      <c r="C374" t="s">
        <v>31</v>
      </c>
      <c r="D374" t="s">
        <v>32</v>
      </c>
      <c r="E374" t="s">
        <v>39</v>
      </c>
      <c r="F374">
        <v>4</v>
      </c>
      <c r="H374" s="4" t="str">
        <f>IF(Table2[[#This Row],[Price]]=0,"No","Yes")</f>
        <v>No</v>
      </c>
      <c r="I374" t="s">
        <v>41</v>
      </c>
      <c r="J374" t="s">
        <v>50</v>
      </c>
      <c r="K374">
        <v>260000</v>
      </c>
      <c r="L374">
        <v>1</v>
      </c>
      <c r="M374">
        <v>2023</v>
      </c>
    </row>
    <row r="375" spans="1:13" x14ac:dyDescent="0.35">
      <c r="A375">
        <v>100374</v>
      </c>
      <c r="B375" s="1">
        <v>44942.541666666657</v>
      </c>
      <c r="C375" t="s">
        <v>23</v>
      </c>
      <c r="D375" t="s">
        <v>36</v>
      </c>
      <c r="E375" t="s">
        <v>39</v>
      </c>
      <c r="F375">
        <v>1</v>
      </c>
      <c r="G375" s="4">
        <v>65000</v>
      </c>
      <c r="H375" s="4" t="str">
        <f>IF(Table2[[#This Row],[Price]]=0,"No","Yes")</f>
        <v>Yes</v>
      </c>
      <c r="I375" t="s">
        <v>41</v>
      </c>
      <c r="J375" t="s">
        <v>49</v>
      </c>
      <c r="K375">
        <v>65000</v>
      </c>
      <c r="L375">
        <v>1</v>
      </c>
      <c r="M375">
        <v>2023</v>
      </c>
    </row>
    <row r="376" spans="1:13" x14ac:dyDescent="0.35">
      <c r="A376">
        <v>100375</v>
      </c>
      <c r="B376" s="1">
        <v>44942.583333333343</v>
      </c>
      <c r="C376" t="s">
        <v>26</v>
      </c>
      <c r="D376" t="s">
        <v>34</v>
      </c>
      <c r="E376" t="s">
        <v>39</v>
      </c>
      <c r="F376">
        <v>1</v>
      </c>
      <c r="G376" s="4">
        <v>45000</v>
      </c>
      <c r="H376" s="4" t="str">
        <f>IF(Table2[[#This Row],[Price]]=0,"No","Yes")</f>
        <v>Yes</v>
      </c>
      <c r="I376" t="s">
        <v>43</v>
      </c>
      <c r="J376" t="s">
        <v>50</v>
      </c>
      <c r="K376">
        <v>45000</v>
      </c>
      <c r="L376">
        <v>1</v>
      </c>
      <c r="M376">
        <v>2023</v>
      </c>
    </row>
    <row r="377" spans="1:13" x14ac:dyDescent="0.35">
      <c r="A377">
        <v>100376</v>
      </c>
      <c r="B377" s="1">
        <v>44942.625</v>
      </c>
      <c r="C377" t="s">
        <v>12</v>
      </c>
      <c r="D377" t="s">
        <v>34</v>
      </c>
      <c r="E377" t="s">
        <v>39</v>
      </c>
      <c r="F377">
        <v>4</v>
      </c>
      <c r="G377" s="4">
        <v>18000</v>
      </c>
      <c r="H377" s="4" t="str">
        <f>IF(Table2[[#This Row],[Price]]=0,"No","Yes")</f>
        <v>Yes</v>
      </c>
      <c r="I377" t="s">
        <v>43</v>
      </c>
      <c r="J377" t="s">
        <v>46</v>
      </c>
      <c r="K377">
        <v>72000</v>
      </c>
      <c r="L377">
        <v>1</v>
      </c>
      <c r="M377">
        <v>2023</v>
      </c>
    </row>
    <row r="378" spans="1:13" x14ac:dyDescent="0.35">
      <c r="A378">
        <v>100377</v>
      </c>
      <c r="B378" s="1">
        <v>44942.666666666657</v>
      </c>
      <c r="C378" t="s">
        <v>27</v>
      </c>
      <c r="D378" t="s">
        <v>37</v>
      </c>
      <c r="E378" t="s">
        <v>39</v>
      </c>
      <c r="F378">
        <v>3</v>
      </c>
      <c r="G378" s="4">
        <v>65000</v>
      </c>
      <c r="H378" s="4" t="str">
        <f>IF(Table2[[#This Row],[Price]]=0,"No","Yes")</f>
        <v>Yes</v>
      </c>
      <c r="I378" t="s">
        <v>42</v>
      </c>
      <c r="J378" t="s">
        <v>51</v>
      </c>
      <c r="K378">
        <v>195000</v>
      </c>
      <c r="L378">
        <v>1</v>
      </c>
      <c r="M378">
        <v>2023</v>
      </c>
    </row>
    <row r="379" spans="1:13" x14ac:dyDescent="0.35">
      <c r="A379">
        <v>100378</v>
      </c>
      <c r="B379" s="1">
        <v>44942.708333333343</v>
      </c>
      <c r="C379" t="s">
        <v>19</v>
      </c>
      <c r="D379" t="s">
        <v>37</v>
      </c>
      <c r="E379" t="s">
        <v>39</v>
      </c>
      <c r="F379">
        <v>4</v>
      </c>
      <c r="G379" s="4">
        <v>18000</v>
      </c>
      <c r="H379" s="4" t="str">
        <f>IF(Table2[[#This Row],[Price]]=0,"No","Yes")</f>
        <v>Yes</v>
      </c>
      <c r="I379" t="s">
        <v>41</v>
      </c>
      <c r="J379" t="s">
        <v>48</v>
      </c>
      <c r="K379">
        <v>72000</v>
      </c>
      <c r="L379">
        <v>1</v>
      </c>
      <c r="M379">
        <v>2023</v>
      </c>
    </row>
    <row r="380" spans="1:13" x14ac:dyDescent="0.35">
      <c r="A380">
        <v>100379</v>
      </c>
      <c r="B380" s="1">
        <v>44942.75</v>
      </c>
      <c r="C380" t="s">
        <v>21</v>
      </c>
      <c r="D380" t="s">
        <v>32</v>
      </c>
      <c r="E380" t="s">
        <v>39</v>
      </c>
      <c r="F380">
        <v>3</v>
      </c>
      <c r="G380" s="4">
        <v>22000</v>
      </c>
      <c r="H380" s="4" t="str">
        <f>IF(Table2[[#This Row],[Price]]=0,"No","Yes")</f>
        <v>Yes</v>
      </c>
      <c r="I380" t="s">
        <v>44</v>
      </c>
      <c r="J380" t="s">
        <v>51</v>
      </c>
      <c r="K380">
        <v>66000</v>
      </c>
      <c r="L380">
        <v>1</v>
      </c>
      <c r="M380">
        <v>2023</v>
      </c>
    </row>
    <row r="381" spans="1:13" x14ac:dyDescent="0.35">
      <c r="A381">
        <v>100380</v>
      </c>
      <c r="B381" s="1">
        <v>44942.791666666657</v>
      </c>
      <c r="C381" t="s">
        <v>26</v>
      </c>
      <c r="D381" t="s">
        <v>36</v>
      </c>
      <c r="E381" t="s">
        <v>39</v>
      </c>
      <c r="F381">
        <v>4</v>
      </c>
      <c r="G381" s="4">
        <v>55000</v>
      </c>
      <c r="H381" s="4" t="str">
        <f>IF(Table2[[#This Row],[Price]]=0,"No","Yes")</f>
        <v>Yes</v>
      </c>
      <c r="I381" t="s">
        <v>41</v>
      </c>
      <c r="J381" t="s">
        <v>45</v>
      </c>
      <c r="K381">
        <v>220000</v>
      </c>
      <c r="L381">
        <v>1</v>
      </c>
      <c r="M381">
        <v>2023</v>
      </c>
    </row>
    <row r="382" spans="1:13" x14ac:dyDescent="0.35">
      <c r="A382">
        <v>100381</v>
      </c>
      <c r="B382" s="1">
        <v>44942.833333333343</v>
      </c>
      <c r="C382" t="s">
        <v>17</v>
      </c>
      <c r="D382" t="s">
        <v>35</v>
      </c>
      <c r="E382" t="s">
        <v>39</v>
      </c>
      <c r="F382">
        <v>5</v>
      </c>
      <c r="G382" s="4">
        <v>65000</v>
      </c>
      <c r="H382" s="4" t="str">
        <f>IF(Table2[[#This Row],[Price]]=0,"No","Yes")</f>
        <v>Yes</v>
      </c>
      <c r="I382" t="s">
        <v>41</v>
      </c>
      <c r="J382" t="s">
        <v>45</v>
      </c>
      <c r="K382">
        <v>325000</v>
      </c>
      <c r="L382">
        <v>1</v>
      </c>
      <c r="M382">
        <v>2023</v>
      </c>
    </row>
    <row r="383" spans="1:13" x14ac:dyDescent="0.35">
      <c r="A383">
        <v>100382</v>
      </c>
      <c r="B383" s="1">
        <v>44942.875</v>
      </c>
      <c r="C383" t="s">
        <v>27</v>
      </c>
      <c r="D383" t="s">
        <v>36</v>
      </c>
      <c r="E383" t="s">
        <v>39</v>
      </c>
      <c r="F383">
        <v>3</v>
      </c>
      <c r="G383" s="4">
        <v>18000</v>
      </c>
      <c r="H383" s="4" t="str">
        <f>IF(Table2[[#This Row],[Price]]=0,"No","Yes")</f>
        <v>Yes</v>
      </c>
      <c r="I383" t="s">
        <v>44</v>
      </c>
      <c r="J383" t="s">
        <v>46</v>
      </c>
      <c r="K383">
        <v>54000</v>
      </c>
      <c r="L383">
        <v>1</v>
      </c>
      <c r="M383">
        <v>2023</v>
      </c>
    </row>
    <row r="384" spans="1:13" x14ac:dyDescent="0.35">
      <c r="A384">
        <v>100383</v>
      </c>
      <c r="B384" s="1">
        <v>44942.916666666657</v>
      </c>
      <c r="C384" t="s">
        <v>30</v>
      </c>
      <c r="D384" t="s">
        <v>36</v>
      </c>
      <c r="E384" t="s">
        <v>39</v>
      </c>
      <c r="F384">
        <v>2</v>
      </c>
      <c r="G384" s="4">
        <v>1500</v>
      </c>
      <c r="H384" s="4" t="str">
        <f>IF(Table2[[#This Row],[Price]]=0,"No","Yes")</f>
        <v>Yes</v>
      </c>
      <c r="I384" t="s">
        <v>44</v>
      </c>
      <c r="J384" t="s">
        <v>49</v>
      </c>
      <c r="K384">
        <v>3000</v>
      </c>
      <c r="L384">
        <v>1</v>
      </c>
      <c r="M384">
        <v>2023</v>
      </c>
    </row>
    <row r="385" spans="1:13" x14ac:dyDescent="0.35">
      <c r="A385">
        <v>100384</v>
      </c>
      <c r="B385" s="1">
        <v>44942.958333333343</v>
      </c>
      <c r="C385" t="s">
        <v>27</v>
      </c>
      <c r="D385" t="s">
        <v>34</v>
      </c>
      <c r="E385" t="s">
        <v>39</v>
      </c>
      <c r="F385">
        <v>2</v>
      </c>
      <c r="G385" s="4">
        <v>5000</v>
      </c>
      <c r="H385" s="4" t="str">
        <f>IF(Table2[[#This Row],[Price]]=0,"No","Yes")</f>
        <v>Yes</v>
      </c>
      <c r="I385" t="s">
        <v>42</v>
      </c>
      <c r="J385" t="s">
        <v>51</v>
      </c>
      <c r="K385">
        <v>10000</v>
      </c>
      <c r="L385">
        <v>1</v>
      </c>
      <c r="M385">
        <v>2023</v>
      </c>
    </row>
    <row r="386" spans="1:13" x14ac:dyDescent="0.35">
      <c r="A386">
        <v>100385</v>
      </c>
      <c r="B386" s="1">
        <v>44943</v>
      </c>
      <c r="C386" t="s">
        <v>14</v>
      </c>
      <c r="D386" t="s">
        <v>32</v>
      </c>
      <c r="E386" t="s">
        <v>40</v>
      </c>
      <c r="F386">
        <v>1</v>
      </c>
      <c r="G386" s="4">
        <v>35000</v>
      </c>
      <c r="H386" s="4" t="str">
        <f>IF(Table2[[#This Row],[Price]]=0,"No","Yes")</f>
        <v>Yes</v>
      </c>
      <c r="I386" t="s">
        <v>41</v>
      </c>
      <c r="J386" t="s">
        <v>45</v>
      </c>
      <c r="K386">
        <v>35000</v>
      </c>
      <c r="L386">
        <v>1</v>
      </c>
      <c r="M386">
        <v>2023</v>
      </c>
    </row>
    <row r="387" spans="1:13" x14ac:dyDescent="0.35">
      <c r="A387">
        <v>100386</v>
      </c>
      <c r="B387" s="1">
        <v>44943.041666666657</v>
      </c>
      <c r="C387" t="s">
        <v>24</v>
      </c>
      <c r="D387" t="s">
        <v>36</v>
      </c>
      <c r="E387" t="s">
        <v>40</v>
      </c>
      <c r="F387">
        <v>2</v>
      </c>
      <c r="G387" s="4">
        <v>35000</v>
      </c>
      <c r="H387" s="4" t="str">
        <f>IF(Table2[[#This Row],[Price]]=0,"No","Yes")</f>
        <v>Yes</v>
      </c>
      <c r="I387" t="s">
        <v>42</v>
      </c>
      <c r="J387" t="s">
        <v>50</v>
      </c>
      <c r="K387">
        <v>70000</v>
      </c>
      <c r="L387">
        <v>1</v>
      </c>
      <c r="M387">
        <v>2023</v>
      </c>
    </row>
    <row r="388" spans="1:13" x14ac:dyDescent="0.35">
      <c r="A388">
        <v>100387</v>
      </c>
      <c r="B388" s="1">
        <v>44943.083333333343</v>
      </c>
      <c r="C388" t="s">
        <v>30</v>
      </c>
      <c r="D388" t="s">
        <v>38</v>
      </c>
      <c r="E388" t="s">
        <v>40</v>
      </c>
      <c r="F388">
        <v>3</v>
      </c>
      <c r="G388" s="4">
        <v>65000</v>
      </c>
      <c r="H388" s="4" t="str">
        <f>IF(Table2[[#This Row],[Price]]=0,"No","Yes")</f>
        <v>Yes</v>
      </c>
      <c r="I388" t="s">
        <v>41</v>
      </c>
      <c r="J388" t="s">
        <v>51</v>
      </c>
      <c r="K388">
        <v>195000</v>
      </c>
      <c r="L388">
        <v>1</v>
      </c>
      <c r="M388">
        <v>2023</v>
      </c>
    </row>
    <row r="389" spans="1:13" x14ac:dyDescent="0.35">
      <c r="A389">
        <v>100388</v>
      </c>
      <c r="B389" s="1">
        <v>44943.125</v>
      </c>
      <c r="C389" t="s">
        <v>13</v>
      </c>
      <c r="D389" t="s">
        <v>38</v>
      </c>
      <c r="E389" t="s">
        <v>39</v>
      </c>
      <c r="F389">
        <v>3</v>
      </c>
      <c r="G389" s="4">
        <v>5000</v>
      </c>
      <c r="H389" s="4" t="str">
        <f>IF(Table2[[#This Row],[Price]]=0,"No","Yes")</f>
        <v>Yes</v>
      </c>
      <c r="I389" t="s">
        <v>43</v>
      </c>
      <c r="J389" t="s">
        <v>51</v>
      </c>
      <c r="K389">
        <v>15000</v>
      </c>
      <c r="L389">
        <v>1</v>
      </c>
      <c r="M389">
        <v>2023</v>
      </c>
    </row>
    <row r="390" spans="1:13" x14ac:dyDescent="0.35">
      <c r="A390">
        <v>100389</v>
      </c>
      <c r="B390" s="1">
        <v>44943.166666666657</v>
      </c>
      <c r="C390" t="s">
        <v>27</v>
      </c>
      <c r="D390" t="s">
        <v>37</v>
      </c>
      <c r="E390" t="s">
        <v>39</v>
      </c>
      <c r="F390">
        <v>2</v>
      </c>
      <c r="G390" s="4">
        <v>5000</v>
      </c>
      <c r="H390" s="4" t="str">
        <f>IF(Table2[[#This Row],[Price]]=0,"No","Yes")</f>
        <v>Yes</v>
      </c>
      <c r="I390" t="s">
        <v>41</v>
      </c>
      <c r="J390" t="s">
        <v>50</v>
      </c>
      <c r="K390">
        <v>10000</v>
      </c>
      <c r="L390">
        <v>1</v>
      </c>
      <c r="M390">
        <v>2023</v>
      </c>
    </row>
    <row r="391" spans="1:13" x14ac:dyDescent="0.35">
      <c r="A391">
        <v>100390</v>
      </c>
      <c r="B391" s="1">
        <v>44943.208333333343</v>
      </c>
      <c r="C391" t="s">
        <v>21</v>
      </c>
      <c r="D391" t="s">
        <v>32</v>
      </c>
      <c r="E391" t="s">
        <v>39</v>
      </c>
      <c r="F391">
        <v>1</v>
      </c>
      <c r="G391" s="4">
        <v>12000</v>
      </c>
      <c r="H391" s="4" t="str">
        <f>IF(Table2[[#This Row],[Price]]=0,"No","Yes")</f>
        <v>Yes</v>
      </c>
      <c r="I391" t="s">
        <v>41</v>
      </c>
      <c r="J391" t="s">
        <v>50</v>
      </c>
      <c r="K391">
        <v>12000</v>
      </c>
      <c r="L391">
        <v>1</v>
      </c>
      <c r="M391">
        <v>2023</v>
      </c>
    </row>
    <row r="392" spans="1:13" x14ac:dyDescent="0.35">
      <c r="A392">
        <v>100391</v>
      </c>
      <c r="B392" s="1">
        <v>44943.25</v>
      </c>
      <c r="C392" t="s">
        <v>26</v>
      </c>
      <c r="D392" t="s">
        <v>35</v>
      </c>
      <c r="E392" t="s">
        <v>39</v>
      </c>
      <c r="F392">
        <v>1</v>
      </c>
      <c r="G392" s="4">
        <v>5000</v>
      </c>
      <c r="H392" s="4" t="str">
        <f>IF(Table2[[#This Row],[Price]]=0,"No","Yes")</f>
        <v>Yes</v>
      </c>
      <c r="I392" t="s">
        <v>43</v>
      </c>
      <c r="J392" t="s">
        <v>51</v>
      </c>
      <c r="K392">
        <v>5000</v>
      </c>
      <c r="L392">
        <v>1</v>
      </c>
      <c r="M392">
        <v>2023</v>
      </c>
    </row>
    <row r="393" spans="1:13" x14ac:dyDescent="0.35">
      <c r="A393">
        <v>100392</v>
      </c>
      <c r="B393" s="1">
        <v>44943.291666666657</v>
      </c>
      <c r="C393" t="s">
        <v>26</v>
      </c>
      <c r="D393" t="s">
        <v>33</v>
      </c>
      <c r="E393" t="s">
        <v>39</v>
      </c>
      <c r="F393">
        <v>2</v>
      </c>
      <c r="G393" s="4">
        <v>5000</v>
      </c>
      <c r="H393" s="4" t="str">
        <f>IF(Table2[[#This Row],[Price]]=0,"No","Yes")</f>
        <v>Yes</v>
      </c>
      <c r="I393" t="s">
        <v>41</v>
      </c>
      <c r="J393" t="s">
        <v>46</v>
      </c>
      <c r="K393">
        <v>10000</v>
      </c>
      <c r="L393">
        <v>1</v>
      </c>
      <c r="M393">
        <v>2023</v>
      </c>
    </row>
    <row r="394" spans="1:13" x14ac:dyDescent="0.35">
      <c r="A394">
        <v>100393</v>
      </c>
      <c r="B394" s="1">
        <v>44943.333333333343</v>
      </c>
      <c r="C394" t="s">
        <v>12</v>
      </c>
      <c r="D394" t="s">
        <v>36</v>
      </c>
      <c r="E394" t="s">
        <v>39</v>
      </c>
      <c r="F394">
        <v>5</v>
      </c>
      <c r="G394" s="4">
        <v>45000</v>
      </c>
      <c r="H394" s="4" t="str">
        <f>IF(Table2[[#This Row],[Price]]=0,"No","Yes")</f>
        <v>Yes</v>
      </c>
      <c r="I394" t="s">
        <v>43</v>
      </c>
      <c r="J394" t="s">
        <v>50</v>
      </c>
      <c r="K394">
        <v>225000</v>
      </c>
      <c r="L394">
        <v>1</v>
      </c>
      <c r="M394">
        <v>2023</v>
      </c>
    </row>
    <row r="395" spans="1:13" x14ac:dyDescent="0.35">
      <c r="A395">
        <v>100394</v>
      </c>
      <c r="B395" s="1">
        <v>44943.375</v>
      </c>
      <c r="C395" t="s">
        <v>18</v>
      </c>
      <c r="D395" t="s">
        <v>33</v>
      </c>
      <c r="E395" t="s">
        <v>39</v>
      </c>
      <c r="F395">
        <v>5</v>
      </c>
      <c r="G395" s="4">
        <v>1500</v>
      </c>
      <c r="H395" s="4" t="str">
        <f>IF(Table2[[#This Row],[Price]]=0,"No","Yes")</f>
        <v>Yes</v>
      </c>
      <c r="I395" t="s">
        <v>41</v>
      </c>
      <c r="J395" t="s">
        <v>46</v>
      </c>
      <c r="K395">
        <v>7500</v>
      </c>
      <c r="L395">
        <v>1</v>
      </c>
      <c r="M395">
        <v>2023</v>
      </c>
    </row>
    <row r="396" spans="1:13" x14ac:dyDescent="0.35">
      <c r="A396">
        <v>100395</v>
      </c>
      <c r="B396" s="1">
        <v>44943.416666666657</v>
      </c>
      <c r="C396" t="s">
        <v>23</v>
      </c>
      <c r="D396" t="s">
        <v>36</v>
      </c>
      <c r="E396" t="s">
        <v>40</v>
      </c>
      <c r="F396">
        <v>4</v>
      </c>
      <c r="G396" s="4">
        <v>65000</v>
      </c>
      <c r="H396" s="4" t="str">
        <f>IF(Table2[[#This Row],[Price]]=0,"No","Yes")</f>
        <v>Yes</v>
      </c>
      <c r="I396" t="s">
        <v>42</v>
      </c>
      <c r="J396" t="s">
        <v>46</v>
      </c>
      <c r="K396">
        <v>260000</v>
      </c>
      <c r="L396">
        <v>1</v>
      </c>
      <c r="M396">
        <v>2023</v>
      </c>
    </row>
    <row r="397" spans="1:13" x14ac:dyDescent="0.35">
      <c r="A397">
        <v>100396</v>
      </c>
      <c r="B397" s="1">
        <v>44943.458333333343</v>
      </c>
      <c r="C397" t="s">
        <v>27</v>
      </c>
      <c r="D397" t="s">
        <v>34</v>
      </c>
      <c r="E397" t="s">
        <v>40</v>
      </c>
      <c r="F397">
        <v>2</v>
      </c>
      <c r="G397" s="4">
        <v>65000</v>
      </c>
      <c r="H397" s="4" t="str">
        <f>IF(Table2[[#This Row],[Price]]=0,"No","Yes")</f>
        <v>Yes</v>
      </c>
      <c r="I397" t="s">
        <v>44</v>
      </c>
      <c r="J397" t="s">
        <v>48</v>
      </c>
      <c r="K397">
        <v>130000</v>
      </c>
      <c r="L397">
        <v>1</v>
      </c>
      <c r="M397">
        <v>2023</v>
      </c>
    </row>
    <row r="398" spans="1:13" x14ac:dyDescent="0.35">
      <c r="A398">
        <v>100397</v>
      </c>
      <c r="B398" s="1">
        <v>44943.5</v>
      </c>
      <c r="C398" t="s">
        <v>25</v>
      </c>
      <c r="D398" t="s">
        <v>36</v>
      </c>
      <c r="E398" t="s">
        <v>40</v>
      </c>
      <c r="F398">
        <v>5</v>
      </c>
      <c r="G398" s="4">
        <v>1500</v>
      </c>
      <c r="H398" s="4" t="str">
        <f>IF(Table2[[#This Row],[Price]]=0,"No","Yes")</f>
        <v>Yes</v>
      </c>
      <c r="I398" t="s">
        <v>44</v>
      </c>
      <c r="J398" t="s">
        <v>48</v>
      </c>
      <c r="K398">
        <v>7500</v>
      </c>
      <c r="L398">
        <v>1</v>
      </c>
      <c r="M398">
        <v>2023</v>
      </c>
    </row>
    <row r="399" spans="1:13" x14ac:dyDescent="0.35">
      <c r="A399">
        <v>100398</v>
      </c>
      <c r="B399" s="1">
        <v>44943.541666666657</v>
      </c>
      <c r="C399" t="s">
        <v>27</v>
      </c>
      <c r="D399" t="s">
        <v>33</v>
      </c>
      <c r="E399" t="s">
        <v>39</v>
      </c>
      <c r="F399">
        <v>3</v>
      </c>
      <c r="G399" s="4">
        <v>2500</v>
      </c>
      <c r="H399" s="4" t="str">
        <f>IF(Table2[[#This Row],[Price]]=0,"No","Yes")</f>
        <v>Yes</v>
      </c>
      <c r="I399" t="s">
        <v>42</v>
      </c>
      <c r="J399" t="s">
        <v>46</v>
      </c>
      <c r="K399">
        <v>7500</v>
      </c>
      <c r="L399">
        <v>1</v>
      </c>
      <c r="M399">
        <v>2023</v>
      </c>
    </row>
    <row r="400" spans="1:13" x14ac:dyDescent="0.35">
      <c r="A400">
        <v>100399</v>
      </c>
      <c r="B400" s="1">
        <v>44943.583333333343</v>
      </c>
      <c r="C400" t="s">
        <v>18</v>
      </c>
      <c r="D400" t="s">
        <v>35</v>
      </c>
      <c r="E400" t="s">
        <v>40</v>
      </c>
      <c r="F400">
        <v>5</v>
      </c>
      <c r="G400" s="4">
        <v>35000</v>
      </c>
      <c r="H400" s="4" t="str">
        <f>IF(Table2[[#This Row],[Price]]=0,"No","Yes")</f>
        <v>Yes</v>
      </c>
      <c r="I400" t="s">
        <v>44</v>
      </c>
      <c r="J400" t="s">
        <v>47</v>
      </c>
      <c r="K400">
        <v>175000</v>
      </c>
      <c r="L400">
        <v>1</v>
      </c>
      <c r="M400">
        <v>2023</v>
      </c>
    </row>
    <row r="401" spans="1:13" x14ac:dyDescent="0.35">
      <c r="A401">
        <v>100400</v>
      </c>
      <c r="B401" s="1">
        <v>44943.625</v>
      </c>
      <c r="C401" t="s">
        <v>20</v>
      </c>
      <c r="D401" t="s">
        <v>36</v>
      </c>
      <c r="E401" t="s">
        <v>40</v>
      </c>
      <c r="F401">
        <v>2</v>
      </c>
      <c r="G401" s="4">
        <v>22000</v>
      </c>
      <c r="H401" s="4" t="str">
        <f>IF(Table2[[#This Row],[Price]]=0,"No","Yes")</f>
        <v>Yes</v>
      </c>
      <c r="I401" t="s">
        <v>42</v>
      </c>
      <c r="J401" t="s">
        <v>45</v>
      </c>
      <c r="K401">
        <v>44000</v>
      </c>
      <c r="L401">
        <v>1</v>
      </c>
      <c r="M401">
        <v>2023</v>
      </c>
    </row>
    <row r="402" spans="1:13" x14ac:dyDescent="0.35">
      <c r="A402">
        <v>100401</v>
      </c>
      <c r="B402" s="1">
        <v>44943.666666666657</v>
      </c>
      <c r="C402" t="s">
        <v>13</v>
      </c>
      <c r="D402" t="s">
        <v>36</v>
      </c>
      <c r="E402" t="s">
        <v>39</v>
      </c>
      <c r="F402">
        <v>3</v>
      </c>
      <c r="G402" s="4">
        <v>35000</v>
      </c>
      <c r="H402" s="4" t="str">
        <f>IF(Table2[[#This Row],[Price]]=0,"No","Yes")</f>
        <v>Yes</v>
      </c>
      <c r="I402" t="s">
        <v>43</v>
      </c>
      <c r="J402" t="s">
        <v>51</v>
      </c>
      <c r="K402">
        <v>105000</v>
      </c>
      <c r="L402">
        <v>1</v>
      </c>
      <c r="M402">
        <v>2023</v>
      </c>
    </row>
    <row r="403" spans="1:13" x14ac:dyDescent="0.35">
      <c r="A403">
        <v>100402</v>
      </c>
      <c r="B403" s="1">
        <v>44943.708333333343</v>
      </c>
      <c r="C403" t="s">
        <v>25</v>
      </c>
      <c r="D403" t="s">
        <v>37</v>
      </c>
      <c r="E403" t="s">
        <v>39</v>
      </c>
      <c r="F403">
        <v>4</v>
      </c>
      <c r="G403" s="4">
        <v>2500</v>
      </c>
      <c r="H403" s="4" t="str">
        <f>IF(Table2[[#This Row],[Price]]=0,"No","Yes")</f>
        <v>Yes</v>
      </c>
      <c r="I403" t="s">
        <v>41</v>
      </c>
      <c r="J403" t="s">
        <v>49</v>
      </c>
      <c r="K403">
        <v>10000</v>
      </c>
      <c r="L403">
        <v>1</v>
      </c>
      <c r="M403">
        <v>2023</v>
      </c>
    </row>
    <row r="404" spans="1:13" x14ac:dyDescent="0.35">
      <c r="A404">
        <v>100403</v>
      </c>
      <c r="B404" s="1">
        <v>44943.75</v>
      </c>
      <c r="C404" t="s">
        <v>17</v>
      </c>
      <c r="D404" t="s">
        <v>34</v>
      </c>
      <c r="E404" t="s">
        <v>39</v>
      </c>
      <c r="F404">
        <v>4</v>
      </c>
      <c r="G404" s="4">
        <v>65000</v>
      </c>
      <c r="H404" s="4" t="str">
        <f>IF(Table2[[#This Row],[Price]]=0,"No","Yes")</f>
        <v>Yes</v>
      </c>
      <c r="I404" t="s">
        <v>44</v>
      </c>
      <c r="J404" t="s">
        <v>51</v>
      </c>
      <c r="K404">
        <v>260000</v>
      </c>
      <c r="L404">
        <v>1</v>
      </c>
      <c r="M404">
        <v>2023</v>
      </c>
    </row>
    <row r="405" spans="1:13" x14ac:dyDescent="0.35">
      <c r="A405">
        <v>100404</v>
      </c>
      <c r="B405" s="1">
        <v>44943.791666666657</v>
      </c>
      <c r="C405" t="s">
        <v>23</v>
      </c>
      <c r="D405" t="s">
        <v>38</v>
      </c>
      <c r="E405" t="s">
        <v>39</v>
      </c>
      <c r="F405">
        <v>3</v>
      </c>
      <c r="G405" s="4">
        <v>22000</v>
      </c>
      <c r="H405" s="4" t="str">
        <f>IF(Table2[[#This Row],[Price]]=0,"No","Yes")</f>
        <v>Yes</v>
      </c>
      <c r="I405" t="s">
        <v>43</v>
      </c>
      <c r="J405" t="s">
        <v>45</v>
      </c>
      <c r="K405">
        <v>66000</v>
      </c>
      <c r="L405">
        <v>1</v>
      </c>
      <c r="M405">
        <v>2023</v>
      </c>
    </row>
    <row r="406" spans="1:13" x14ac:dyDescent="0.35">
      <c r="A406">
        <v>100405</v>
      </c>
      <c r="B406" s="1">
        <v>44943.833333333343</v>
      </c>
      <c r="C406" t="s">
        <v>27</v>
      </c>
      <c r="D406" t="s">
        <v>38</v>
      </c>
      <c r="E406" t="s">
        <v>39</v>
      </c>
      <c r="F406">
        <v>2</v>
      </c>
      <c r="G406" s="4">
        <v>18000</v>
      </c>
      <c r="H406" s="4" t="str">
        <f>IF(Table2[[#This Row],[Price]]=0,"No","Yes")</f>
        <v>Yes</v>
      </c>
      <c r="I406" t="s">
        <v>43</v>
      </c>
      <c r="J406" t="s">
        <v>46</v>
      </c>
      <c r="K406">
        <v>36000</v>
      </c>
      <c r="L406">
        <v>1</v>
      </c>
      <c r="M406">
        <v>2023</v>
      </c>
    </row>
    <row r="407" spans="1:13" x14ac:dyDescent="0.35">
      <c r="A407">
        <v>100406</v>
      </c>
      <c r="B407" s="1">
        <v>44943.875</v>
      </c>
      <c r="C407" t="s">
        <v>31</v>
      </c>
      <c r="D407" t="s">
        <v>37</v>
      </c>
      <c r="E407" t="s">
        <v>39</v>
      </c>
      <c r="F407">
        <v>3</v>
      </c>
      <c r="G407" s="4">
        <v>1500</v>
      </c>
      <c r="H407" s="4" t="str">
        <f>IF(Table2[[#This Row],[Price]]=0,"No","Yes")</f>
        <v>Yes</v>
      </c>
      <c r="I407" t="s">
        <v>43</v>
      </c>
      <c r="J407" t="s">
        <v>46</v>
      </c>
      <c r="K407">
        <v>4500</v>
      </c>
      <c r="L407">
        <v>1</v>
      </c>
      <c r="M407">
        <v>2023</v>
      </c>
    </row>
    <row r="408" spans="1:13" x14ac:dyDescent="0.35">
      <c r="A408">
        <v>100407</v>
      </c>
      <c r="B408" s="1">
        <v>44943.916666666657</v>
      </c>
      <c r="C408" t="s">
        <v>18</v>
      </c>
      <c r="D408" t="s">
        <v>35</v>
      </c>
      <c r="E408" t="s">
        <v>39</v>
      </c>
      <c r="F408">
        <v>2</v>
      </c>
      <c r="G408" s="4">
        <v>65000</v>
      </c>
      <c r="H408" s="4" t="str">
        <f>IF(Table2[[#This Row],[Price]]=0,"No","Yes")</f>
        <v>Yes</v>
      </c>
      <c r="I408" t="s">
        <v>41</v>
      </c>
      <c r="J408" t="s">
        <v>49</v>
      </c>
      <c r="K408">
        <v>130000</v>
      </c>
      <c r="L408">
        <v>1</v>
      </c>
      <c r="M408">
        <v>2023</v>
      </c>
    </row>
    <row r="409" spans="1:13" x14ac:dyDescent="0.35">
      <c r="A409">
        <v>100408</v>
      </c>
      <c r="B409" s="1">
        <v>44943.958333333343</v>
      </c>
      <c r="C409" t="s">
        <v>26</v>
      </c>
      <c r="D409" t="s">
        <v>32</v>
      </c>
      <c r="E409" t="s">
        <v>39</v>
      </c>
      <c r="F409">
        <v>3</v>
      </c>
      <c r="G409" s="4">
        <v>2500</v>
      </c>
      <c r="H409" s="4" t="str">
        <f>IF(Table2[[#This Row],[Price]]=0,"No","Yes")</f>
        <v>Yes</v>
      </c>
      <c r="I409" t="s">
        <v>41</v>
      </c>
      <c r="J409" t="s">
        <v>45</v>
      </c>
      <c r="K409">
        <v>7500</v>
      </c>
      <c r="L409">
        <v>1</v>
      </c>
      <c r="M409">
        <v>2023</v>
      </c>
    </row>
    <row r="410" spans="1:13" x14ac:dyDescent="0.35">
      <c r="A410">
        <v>100409</v>
      </c>
      <c r="B410" s="1">
        <v>44944</v>
      </c>
      <c r="C410" t="s">
        <v>26</v>
      </c>
      <c r="D410" t="s">
        <v>32</v>
      </c>
      <c r="E410" t="s">
        <v>39</v>
      </c>
      <c r="F410">
        <v>1</v>
      </c>
      <c r="G410" s="4">
        <v>45000</v>
      </c>
      <c r="H410" s="4" t="str">
        <f>IF(Table2[[#This Row],[Price]]=0,"No","Yes")</f>
        <v>Yes</v>
      </c>
      <c r="I410" t="s">
        <v>42</v>
      </c>
      <c r="J410" t="s">
        <v>46</v>
      </c>
      <c r="K410">
        <v>45000</v>
      </c>
      <c r="L410">
        <v>1</v>
      </c>
      <c r="M410">
        <v>2023</v>
      </c>
    </row>
    <row r="411" spans="1:13" x14ac:dyDescent="0.35">
      <c r="A411">
        <v>100410</v>
      </c>
      <c r="B411" s="1">
        <v>44944.041666666657</v>
      </c>
      <c r="C411" t="s">
        <v>20</v>
      </c>
      <c r="D411" t="s">
        <v>34</v>
      </c>
      <c r="E411" t="s">
        <v>39</v>
      </c>
      <c r="F411">
        <v>4</v>
      </c>
      <c r="G411" s="4">
        <v>45000</v>
      </c>
      <c r="H411" s="4" t="str">
        <f>IF(Table2[[#This Row],[Price]]=0,"No","Yes")</f>
        <v>Yes</v>
      </c>
      <c r="I411" t="s">
        <v>42</v>
      </c>
      <c r="J411" t="s">
        <v>49</v>
      </c>
      <c r="K411">
        <v>180000</v>
      </c>
      <c r="L411">
        <v>1</v>
      </c>
      <c r="M411">
        <v>2023</v>
      </c>
    </row>
    <row r="412" spans="1:13" x14ac:dyDescent="0.35">
      <c r="A412">
        <v>100411</v>
      </c>
      <c r="B412" s="1">
        <v>44944.083333333343</v>
      </c>
      <c r="C412" t="s">
        <v>24</v>
      </c>
      <c r="D412" t="s">
        <v>33</v>
      </c>
      <c r="E412" t="s">
        <v>39</v>
      </c>
      <c r="F412">
        <v>5</v>
      </c>
      <c r="G412" s="4">
        <v>35000</v>
      </c>
      <c r="H412" s="4" t="str">
        <f>IF(Table2[[#This Row],[Price]]=0,"No","Yes")</f>
        <v>Yes</v>
      </c>
      <c r="I412" t="s">
        <v>42</v>
      </c>
      <c r="J412" t="s">
        <v>51</v>
      </c>
      <c r="K412">
        <v>175000</v>
      </c>
      <c r="L412">
        <v>1</v>
      </c>
      <c r="M412">
        <v>2023</v>
      </c>
    </row>
    <row r="413" spans="1:13" x14ac:dyDescent="0.35">
      <c r="A413">
        <v>100412</v>
      </c>
      <c r="B413" s="1">
        <v>44944.125</v>
      </c>
      <c r="C413" t="s">
        <v>13</v>
      </c>
      <c r="D413" t="s">
        <v>33</v>
      </c>
      <c r="E413" t="s">
        <v>39</v>
      </c>
      <c r="F413">
        <v>3</v>
      </c>
      <c r="G413" s="4">
        <v>5000</v>
      </c>
      <c r="H413" s="4" t="str">
        <f>IF(Table2[[#This Row],[Price]]=0,"No","Yes")</f>
        <v>Yes</v>
      </c>
      <c r="I413" t="s">
        <v>42</v>
      </c>
      <c r="J413" t="s">
        <v>45</v>
      </c>
      <c r="K413">
        <v>15000</v>
      </c>
      <c r="L413">
        <v>1</v>
      </c>
      <c r="M413">
        <v>2023</v>
      </c>
    </row>
    <row r="414" spans="1:13" x14ac:dyDescent="0.35">
      <c r="A414">
        <v>100413</v>
      </c>
      <c r="B414" s="1">
        <v>44944.166666666657</v>
      </c>
      <c r="C414" t="s">
        <v>21</v>
      </c>
      <c r="D414" t="s">
        <v>36</v>
      </c>
      <c r="E414" t="s">
        <v>39</v>
      </c>
      <c r="F414">
        <v>4</v>
      </c>
      <c r="G414" s="4">
        <v>1500</v>
      </c>
      <c r="H414" s="4" t="str">
        <f>IF(Table2[[#This Row],[Price]]=0,"No","Yes")</f>
        <v>Yes</v>
      </c>
      <c r="I414" t="s">
        <v>43</v>
      </c>
      <c r="J414" t="s">
        <v>48</v>
      </c>
      <c r="K414">
        <v>6000</v>
      </c>
      <c r="L414">
        <v>1</v>
      </c>
      <c r="M414">
        <v>2023</v>
      </c>
    </row>
    <row r="415" spans="1:13" hidden="1" x14ac:dyDescent="0.35">
      <c r="A415">
        <v>100414</v>
      </c>
      <c r="B415" s="1">
        <v>44944.208333333343</v>
      </c>
      <c r="C415" t="s">
        <v>29</v>
      </c>
      <c r="D415" t="s">
        <v>34</v>
      </c>
      <c r="E415" t="s">
        <v>40</v>
      </c>
      <c r="F415">
        <v>4</v>
      </c>
      <c r="H415" s="4" t="str">
        <f>IF(Table2[[#This Row],[Price]]=0,"No","Yes")</f>
        <v>No</v>
      </c>
      <c r="I415" t="s">
        <v>41</v>
      </c>
      <c r="J415" t="s">
        <v>47</v>
      </c>
      <c r="K415">
        <v>10000</v>
      </c>
      <c r="L415">
        <v>1</v>
      </c>
      <c r="M415">
        <v>2023</v>
      </c>
    </row>
    <row r="416" spans="1:13" x14ac:dyDescent="0.35">
      <c r="A416">
        <v>100415</v>
      </c>
      <c r="B416" s="1">
        <v>44944.25</v>
      </c>
      <c r="C416" t="s">
        <v>19</v>
      </c>
      <c r="D416" t="s">
        <v>33</v>
      </c>
      <c r="E416" t="s">
        <v>39</v>
      </c>
      <c r="F416">
        <v>3</v>
      </c>
      <c r="G416" s="4">
        <v>45000</v>
      </c>
      <c r="H416" s="4" t="str">
        <f>IF(Table2[[#This Row],[Price]]=0,"No","Yes")</f>
        <v>Yes</v>
      </c>
      <c r="I416" t="s">
        <v>42</v>
      </c>
      <c r="J416" t="s">
        <v>50</v>
      </c>
      <c r="K416">
        <v>135000</v>
      </c>
      <c r="L416">
        <v>1</v>
      </c>
      <c r="M416">
        <v>2023</v>
      </c>
    </row>
    <row r="417" spans="1:13" x14ac:dyDescent="0.35">
      <c r="A417">
        <v>100416</v>
      </c>
      <c r="B417" s="1">
        <v>44944.291666666657</v>
      </c>
      <c r="C417" t="s">
        <v>23</v>
      </c>
      <c r="D417" t="s">
        <v>38</v>
      </c>
      <c r="E417" t="s">
        <v>39</v>
      </c>
      <c r="F417">
        <v>5</v>
      </c>
      <c r="G417" s="4">
        <v>55000</v>
      </c>
      <c r="H417" s="4" t="str">
        <f>IF(Table2[[#This Row],[Price]]=0,"No","Yes")</f>
        <v>Yes</v>
      </c>
      <c r="I417" t="s">
        <v>42</v>
      </c>
      <c r="J417" t="s">
        <v>51</v>
      </c>
      <c r="K417">
        <v>275000</v>
      </c>
      <c r="L417">
        <v>1</v>
      </c>
      <c r="M417">
        <v>2023</v>
      </c>
    </row>
    <row r="418" spans="1:13" x14ac:dyDescent="0.35">
      <c r="A418">
        <v>100417</v>
      </c>
      <c r="B418" s="1">
        <v>44944.333333333343</v>
      </c>
      <c r="C418" t="s">
        <v>23</v>
      </c>
      <c r="D418" t="s">
        <v>37</v>
      </c>
      <c r="E418" t="s">
        <v>39</v>
      </c>
      <c r="F418">
        <v>5</v>
      </c>
      <c r="G418" s="4">
        <v>22000</v>
      </c>
      <c r="H418" s="4" t="str">
        <f>IF(Table2[[#This Row],[Price]]=0,"No","Yes")</f>
        <v>Yes</v>
      </c>
      <c r="I418" t="s">
        <v>43</v>
      </c>
      <c r="J418" t="s">
        <v>50</v>
      </c>
      <c r="K418">
        <v>110000</v>
      </c>
      <c r="L418">
        <v>1</v>
      </c>
      <c r="M418">
        <v>2023</v>
      </c>
    </row>
    <row r="419" spans="1:13" x14ac:dyDescent="0.35">
      <c r="A419">
        <v>100418</v>
      </c>
      <c r="B419" s="1">
        <v>44944.375</v>
      </c>
      <c r="C419" t="s">
        <v>17</v>
      </c>
      <c r="D419" t="s">
        <v>35</v>
      </c>
      <c r="E419" t="s">
        <v>39</v>
      </c>
      <c r="F419">
        <v>3</v>
      </c>
      <c r="G419" s="4">
        <v>12000</v>
      </c>
      <c r="H419" s="4" t="str">
        <f>IF(Table2[[#This Row],[Price]]=0,"No","Yes")</f>
        <v>Yes</v>
      </c>
      <c r="I419" t="s">
        <v>44</v>
      </c>
      <c r="J419" t="s">
        <v>45</v>
      </c>
      <c r="K419">
        <v>36000</v>
      </c>
      <c r="L419">
        <v>1</v>
      </c>
      <c r="M419">
        <v>2023</v>
      </c>
    </row>
    <row r="420" spans="1:13" x14ac:dyDescent="0.35">
      <c r="A420">
        <v>100419</v>
      </c>
      <c r="B420" s="1">
        <v>44944.416666666657</v>
      </c>
      <c r="C420" t="s">
        <v>15</v>
      </c>
      <c r="D420" t="s">
        <v>32</v>
      </c>
      <c r="E420" t="s">
        <v>39</v>
      </c>
      <c r="F420">
        <v>3</v>
      </c>
      <c r="G420" s="4">
        <v>12000</v>
      </c>
      <c r="H420" s="4" t="str">
        <f>IF(Table2[[#This Row],[Price]]=0,"No","Yes")</f>
        <v>Yes</v>
      </c>
      <c r="I420" t="s">
        <v>44</v>
      </c>
      <c r="J420" t="s">
        <v>51</v>
      </c>
      <c r="K420">
        <v>36000</v>
      </c>
      <c r="L420">
        <v>1</v>
      </c>
      <c r="M420">
        <v>2023</v>
      </c>
    </row>
    <row r="421" spans="1:13" x14ac:dyDescent="0.35">
      <c r="A421">
        <v>100420</v>
      </c>
      <c r="B421" s="1">
        <v>44944.458333333343</v>
      </c>
      <c r="C421" t="s">
        <v>27</v>
      </c>
      <c r="D421" t="s">
        <v>37</v>
      </c>
      <c r="E421" t="s">
        <v>40</v>
      </c>
      <c r="F421">
        <v>1</v>
      </c>
      <c r="G421" s="4">
        <v>65000</v>
      </c>
      <c r="H421" s="4" t="str">
        <f>IF(Table2[[#This Row],[Price]]=0,"No","Yes")</f>
        <v>Yes</v>
      </c>
      <c r="I421" t="s">
        <v>42</v>
      </c>
      <c r="J421" t="s">
        <v>48</v>
      </c>
      <c r="K421">
        <v>65000</v>
      </c>
      <c r="L421">
        <v>1</v>
      </c>
      <c r="M421">
        <v>2023</v>
      </c>
    </row>
    <row r="422" spans="1:13" x14ac:dyDescent="0.35">
      <c r="A422">
        <v>100421</v>
      </c>
      <c r="B422" s="1">
        <v>44944.5</v>
      </c>
      <c r="C422" t="s">
        <v>21</v>
      </c>
      <c r="D422" t="s">
        <v>36</v>
      </c>
      <c r="E422" t="s">
        <v>39</v>
      </c>
      <c r="F422">
        <v>4</v>
      </c>
      <c r="G422" s="4">
        <v>22000</v>
      </c>
      <c r="H422" s="4" t="str">
        <f>IF(Table2[[#This Row],[Price]]=0,"No","Yes")</f>
        <v>Yes</v>
      </c>
      <c r="I422" t="s">
        <v>42</v>
      </c>
      <c r="J422" t="s">
        <v>46</v>
      </c>
      <c r="K422">
        <v>88000</v>
      </c>
      <c r="L422">
        <v>1</v>
      </c>
      <c r="M422">
        <v>2023</v>
      </c>
    </row>
    <row r="423" spans="1:13" x14ac:dyDescent="0.35">
      <c r="A423">
        <v>100422</v>
      </c>
      <c r="B423" s="1">
        <v>44944.541666666657</v>
      </c>
      <c r="C423" t="s">
        <v>19</v>
      </c>
      <c r="D423" t="s">
        <v>37</v>
      </c>
      <c r="E423" t="s">
        <v>39</v>
      </c>
      <c r="F423">
        <v>2</v>
      </c>
      <c r="G423" s="4">
        <v>1500</v>
      </c>
      <c r="H423" s="4" t="str">
        <f>IF(Table2[[#This Row],[Price]]=0,"No","Yes")</f>
        <v>Yes</v>
      </c>
      <c r="I423" t="s">
        <v>42</v>
      </c>
      <c r="J423" t="s">
        <v>49</v>
      </c>
      <c r="K423">
        <v>3000</v>
      </c>
      <c r="L423">
        <v>1</v>
      </c>
      <c r="M423">
        <v>2023</v>
      </c>
    </row>
    <row r="424" spans="1:13" x14ac:dyDescent="0.35">
      <c r="A424">
        <v>100423</v>
      </c>
      <c r="B424" s="1">
        <v>44944.583333333343</v>
      </c>
      <c r="C424" t="s">
        <v>23</v>
      </c>
      <c r="D424" t="s">
        <v>32</v>
      </c>
      <c r="E424" t="s">
        <v>39</v>
      </c>
      <c r="F424">
        <v>2</v>
      </c>
      <c r="G424" s="4">
        <v>22000</v>
      </c>
      <c r="H424" s="4" t="str">
        <f>IF(Table2[[#This Row],[Price]]=0,"No","Yes")</f>
        <v>Yes</v>
      </c>
      <c r="I424" t="s">
        <v>44</v>
      </c>
      <c r="J424" t="s">
        <v>49</v>
      </c>
      <c r="K424">
        <v>44000</v>
      </c>
      <c r="L424">
        <v>1</v>
      </c>
      <c r="M424">
        <v>2023</v>
      </c>
    </row>
    <row r="425" spans="1:13" x14ac:dyDescent="0.35">
      <c r="A425">
        <v>100424</v>
      </c>
      <c r="B425" s="1">
        <v>44944.625</v>
      </c>
      <c r="C425" t="s">
        <v>23</v>
      </c>
      <c r="D425" t="s">
        <v>38</v>
      </c>
      <c r="E425" t="s">
        <v>40</v>
      </c>
      <c r="F425">
        <v>5</v>
      </c>
      <c r="G425" s="4">
        <v>2500</v>
      </c>
      <c r="H425" s="4" t="str">
        <f>IF(Table2[[#This Row],[Price]]=0,"No","Yes")</f>
        <v>Yes</v>
      </c>
      <c r="I425" t="s">
        <v>41</v>
      </c>
      <c r="J425" t="s">
        <v>47</v>
      </c>
      <c r="K425">
        <v>12500</v>
      </c>
      <c r="L425">
        <v>1</v>
      </c>
      <c r="M425">
        <v>2023</v>
      </c>
    </row>
    <row r="426" spans="1:13" x14ac:dyDescent="0.35">
      <c r="A426">
        <v>100425</v>
      </c>
      <c r="B426" s="1">
        <v>44944.666666666657</v>
      </c>
      <c r="C426" t="s">
        <v>16</v>
      </c>
      <c r="D426" t="s">
        <v>36</v>
      </c>
      <c r="E426" t="s">
        <v>39</v>
      </c>
      <c r="F426">
        <v>2</v>
      </c>
      <c r="G426" s="4">
        <v>18000</v>
      </c>
      <c r="H426" s="4" t="str">
        <f>IF(Table2[[#This Row],[Price]]=0,"No","Yes")</f>
        <v>Yes</v>
      </c>
      <c r="I426" t="s">
        <v>41</v>
      </c>
      <c r="J426" t="s">
        <v>50</v>
      </c>
      <c r="K426">
        <v>36000</v>
      </c>
      <c r="L426">
        <v>1</v>
      </c>
      <c r="M426">
        <v>2023</v>
      </c>
    </row>
    <row r="427" spans="1:13" x14ac:dyDescent="0.35">
      <c r="A427">
        <v>100426</v>
      </c>
      <c r="B427" s="1">
        <v>44944.708333333343</v>
      </c>
      <c r="C427" t="s">
        <v>25</v>
      </c>
      <c r="D427" t="s">
        <v>38</v>
      </c>
      <c r="E427" t="s">
        <v>39</v>
      </c>
      <c r="F427">
        <v>3</v>
      </c>
      <c r="G427" s="4">
        <v>65000</v>
      </c>
      <c r="H427" s="4" t="str">
        <f>IF(Table2[[#This Row],[Price]]=0,"No","Yes")</f>
        <v>Yes</v>
      </c>
      <c r="I427" t="s">
        <v>43</v>
      </c>
      <c r="J427" t="s">
        <v>46</v>
      </c>
      <c r="K427">
        <v>195000</v>
      </c>
      <c r="L427">
        <v>1</v>
      </c>
      <c r="M427">
        <v>2023</v>
      </c>
    </row>
    <row r="428" spans="1:13" x14ac:dyDescent="0.35">
      <c r="A428">
        <v>100427</v>
      </c>
      <c r="B428" s="1">
        <v>44944.75</v>
      </c>
      <c r="C428" t="s">
        <v>15</v>
      </c>
      <c r="D428" t="s">
        <v>32</v>
      </c>
      <c r="E428" t="s">
        <v>39</v>
      </c>
      <c r="F428">
        <v>2</v>
      </c>
      <c r="G428" s="4">
        <v>55000</v>
      </c>
      <c r="H428" s="4" t="str">
        <f>IF(Table2[[#This Row],[Price]]=0,"No","Yes")</f>
        <v>Yes</v>
      </c>
      <c r="I428" t="s">
        <v>43</v>
      </c>
      <c r="J428" t="s">
        <v>49</v>
      </c>
      <c r="K428">
        <v>110000</v>
      </c>
      <c r="L428">
        <v>1</v>
      </c>
      <c r="M428">
        <v>2023</v>
      </c>
    </row>
    <row r="429" spans="1:13" x14ac:dyDescent="0.35">
      <c r="A429">
        <v>100428</v>
      </c>
      <c r="B429" s="1">
        <v>44944.791666666657</v>
      </c>
      <c r="C429" t="s">
        <v>21</v>
      </c>
      <c r="D429" t="s">
        <v>32</v>
      </c>
      <c r="E429" t="s">
        <v>40</v>
      </c>
      <c r="F429">
        <v>5</v>
      </c>
      <c r="G429" s="4">
        <v>55000</v>
      </c>
      <c r="H429" s="4" t="str">
        <f>IF(Table2[[#This Row],[Price]]=0,"No","Yes")</f>
        <v>Yes</v>
      </c>
      <c r="I429" t="s">
        <v>41</v>
      </c>
      <c r="J429" t="s">
        <v>47</v>
      </c>
      <c r="K429">
        <v>275000</v>
      </c>
      <c r="L429">
        <v>1</v>
      </c>
      <c r="M429">
        <v>2023</v>
      </c>
    </row>
    <row r="430" spans="1:13" x14ac:dyDescent="0.35">
      <c r="A430">
        <v>100429</v>
      </c>
      <c r="B430" s="1">
        <v>44944.833333333343</v>
      </c>
      <c r="C430" t="s">
        <v>31</v>
      </c>
      <c r="D430" t="s">
        <v>38</v>
      </c>
      <c r="E430" t="s">
        <v>40</v>
      </c>
      <c r="F430">
        <v>5</v>
      </c>
      <c r="G430" s="4">
        <v>1500</v>
      </c>
      <c r="H430" s="4" t="str">
        <f>IF(Table2[[#This Row],[Price]]=0,"No","Yes")</f>
        <v>Yes</v>
      </c>
      <c r="I430" t="s">
        <v>43</v>
      </c>
      <c r="J430" t="s">
        <v>47</v>
      </c>
      <c r="K430">
        <v>7500</v>
      </c>
      <c r="L430">
        <v>1</v>
      </c>
      <c r="M430">
        <v>2023</v>
      </c>
    </row>
    <row r="431" spans="1:13" x14ac:dyDescent="0.35">
      <c r="A431">
        <v>100430</v>
      </c>
      <c r="B431" s="1">
        <v>44944.875</v>
      </c>
      <c r="C431" t="s">
        <v>21</v>
      </c>
      <c r="D431" t="s">
        <v>36</v>
      </c>
      <c r="E431" t="s">
        <v>39</v>
      </c>
      <c r="F431">
        <v>4</v>
      </c>
      <c r="G431" s="4">
        <v>12000</v>
      </c>
      <c r="H431" s="4" t="str">
        <f>IF(Table2[[#This Row],[Price]]=0,"No","Yes")</f>
        <v>Yes</v>
      </c>
      <c r="I431" t="s">
        <v>42</v>
      </c>
      <c r="J431" t="s">
        <v>49</v>
      </c>
      <c r="K431">
        <v>48000</v>
      </c>
      <c r="L431">
        <v>1</v>
      </c>
      <c r="M431">
        <v>2023</v>
      </c>
    </row>
    <row r="432" spans="1:13" x14ac:dyDescent="0.35">
      <c r="A432">
        <v>100431</v>
      </c>
      <c r="B432" s="1">
        <v>44944.916666666657</v>
      </c>
      <c r="C432" t="s">
        <v>30</v>
      </c>
      <c r="D432" t="s">
        <v>38</v>
      </c>
      <c r="E432" t="s">
        <v>39</v>
      </c>
      <c r="F432">
        <v>1</v>
      </c>
      <c r="G432" s="4">
        <v>22000</v>
      </c>
      <c r="H432" s="4" t="str">
        <f>IF(Table2[[#This Row],[Price]]=0,"No","Yes")</f>
        <v>Yes</v>
      </c>
      <c r="I432" t="s">
        <v>42</v>
      </c>
      <c r="J432" t="s">
        <v>50</v>
      </c>
      <c r="K432">
        <v>22000</v>
      </c>
      <c r="L432">
        <v>1</v>
      </c>
      <c r="M432">
        <v>2023</v>
      </c>
    </row>
    <row r="433" spans="1:13" x14ac:dyDescent="0.35">
      <c r="A433">
        <v>100432</v>
      </c>
      <c r="B433" s="1">
        <v>44944.958333333343</v>
      </c>
      <c r="C433" t="s">
        <v>20</v>
      </c>
      <c r="D433" t="s">
        <v>36</v>
      </c>
      <c r="E433" t="s">
        <v>39</v>
      </c>
      <c r="F433">
        <v>1</v>
      </c>
      <c r="G433" s="4">
        <v>65000</v>
      </c>
      <c r="H433" s="4" t="str">
        <f>IF(Table2[[#This Row],[Price]]=0,"No","Yes")</f>
        <v>Yes</v>
      </c>
      <c r="I433" t="s">
        <v>43</v>
      </c>
      <c r="J433" t="s">
        <v>49</v>
      </c>
      <c r="K433">
        <v>65000</v>
      </c>
      <c r="L433">
        <v>1</v>
      </c>
      <c r="M433">
        <v>2023</v>
      </c>
    </row>
    <row r="434" spans="1:13" x14ac:dyDescent="0.35">
      <c r="A434">
        <v>100433</v>
      </c>
      <c r="B434" s="1">
        <v>44945</v>
      </c>
      <c r="C434" t="s">
        <v>17</v>
      </c>
      <c r="D434" t="s">
        <v>34</v>
      </c>
      <c r="E434" t="s">
        <v>39</v>
      </c>
      <c r="F434">
        <v>3</v>
      </c>
      <c r="G434" s="4">
        <v>45000</v>
      </c>
      <c r="H434" s="4" t="str">
        <f>IF(Table2[[#This Row],[Price]]=0,"No","Yes")</f>
        <v>Yes</v>
      </c>
      <c r="I434" t="s">
        <v>44</v>
      </c>
      <c r="J434" t="s">
        <v>46</v>
      </c>
      <c r="K434">
        <v>135000</v>
      </c>
      <c r="L434">
        <v>1</v>
      </c>
      <c r="M434">
        <v>2023</v>
      </c>
    </row>
    <row r="435" spans="1:13" x14ac:dyDescent="0.35">
      <c r="A435">
        <v>100434</v>
      </c>
      <c r="B435" s="1">
        <v>44945.041666666657</v>
      </c>
      <c r="C435" t="s">
        <v>29</v>
      </c>
      <c r="D435" t="s">
        <v>34</v>
      </c>
      <c r="E435" t="s">
        <v>39</v>
      </c>
      <c r="F435">
        <v>5</v>
      </c>
      <c r="G435" s="4">
        <v>12000</v>
      </c>
      <c r="H435" s="4" t="str">
        <f>IF(Table2[[#This Row],[Price]]=0,"No","Yes")</f>
        <v>Yes</v>
      </c>
      <c r="I435" t="s">
        <v>44</v>
      </c>
      <c r="J435" t="s">
        <v>48</v>
      </c>
      <c r="K435">
        <v>60000</v>
      </c>
      <c r="L435">
        <v>1</v>
      </c>
      <c r="M435">
        <v>2023</v>
      </c>
    </row>
    <row r="436" spans="1:13" x14ac:dyDescent="0.35">
      <c r="A436">
        <v>100435</v>
      </c>
      <c r="B436" s="1">
        <v>44945.083333333343</v>
      </c>
      <c r="C436" t="s">
        <v>19</v>
      </c>
      <c r="D436" t="s">
        <v>36</v>
      </c>
      <c r="E436" t="s">
        <v>39</v>
      </c>
      <c r="F436">
        <v>2</v>
      </c>
      <c r="G436" s="4">
        <v>65000</v>
      </c>
      <c r="H436" s="4" t="str">
        <f>IF(Table2[[#This Row],[Price]]=0,"No","Yes")</f>
        <v>Yes</v>
      </c>
      <c r="I436" t="s">
        <v>41</v>
      </c>
      <c r="J436" t="s">
        <v>46</v>
      </c>
      <c r="K436">
        <v>130000</v>
      </c>
      <c r="L436">
        <v>1</v>
      </c>
      <c r="M436">
        <v>2023</v>
      </c>
    </row>
    <row r="437" spans="1:13" x14ac:dyDescent="0.35">
      <c r="A437">
        <v>100436</v>
      </c>
      <c r="B437" s="1">
        <v>44945.125</v>
      </c>
      <c r="C437" t="s">
        <v>24</v>
      </c>
      <c r="D437" t="s">
        <v>38</v>
      </c>
      <c r="E437" t="s">
        <v>39</v>
      </c>
      <c r="F437">
        <v>4</v>
      </c>
      <c r="G437" s="4">
        <v>65000</v>
      </c>
      <c r="H437" s="4" t="str">
        <f>IF(Table2[[#This Row],[Price]]=0,"No","Yes")</f>
        <v>Yes</v>
      </c>
      <c r="I437" t="s">
        <v>44</v>
      </c>
      <c r="J437" t="s">
        <v>45</v>
      </c>
      <c r="K437">
        <v>260000</v>
      </c>
      <c r="L437">
        <v>1</v>
      </c>
      <c r="M437">
        <v>2023</v>
      </c>
    </row>
    <row r="438" spans="1:13" x14ac:dyDescent="0.35">
      <c r="A438">
        <v>100437</v>
      </c>
      <c r="B438" s="1">
        <v>44945.166666666657</v>
      </c>
      <c r="C438" t="s">
        <v>16</v>
      </c>
      <c r="D438" t="s">
        <v>37</v>
      </c>
      <c r="E438" t="s">
        <v>39</v>
      </c>
      <c r="F438">
        <v>2</v>
      </c>
      <c r="G438" s="4">
        <v>22000</v>
      </c>
      <c r="H438" s="4" t="str">
        <f>IF(Table2[[#This Row],[Price]]=0,"No","Yes")</f>
        <v>Yes</v>
      </c>
      <c r="I438" t="s">
        <v>41</v>
      </c>
      <c r="J438" t="s">
        <v>51</v>
      </c>
      <c r="K438">
        <v>44000</v>
      </c>
      <c r="L438">
        <v>1</v>
      </c>
      <c r="M438">
        <v>2023</v>
      </c>
    </row>
    <row r="439" spans="1:13" x14ac:dyDescent="0.35">
      <c r="A439">
        <v>100438</v>
      </c>
      <c r="B439" s="1">
        <v>44945.208333333343</v>
      </c>
      <c r="C439" t="s">
        <v>25</v>
      </c>
      <c r="D439" t="s">
        <v>37</v>
      </c>
      <c r="E439" t="s">
        <v>39</v>
      </c>
      <c r="F439">
        <v>4</v>
      </c>
      <c r="G439" s="4">
        <v>18000</v>
      </c>
      <c r="H439" s="4" t="str">
        <f>IF(Table2[[#This Row],[Price]]=0,"No","Yes")</f>
        <v>Yes</v>
      </c>
      <c r="I439" t="s">
        <v>44</v>
      </c>
      <c r="J439" t="s">
        <v>48</v>
      </c>
      <c r="K439">
        <v>72000</v>
      </c>
      <c r="L439">
        <v>1</v>
      </c>
      <c r="M439">
        <v>2023</v>
      </c>
    </row>
    <row r="440" spans="1:13" x14ac:dyDescent="0.35">
      <c r="A440">
        <v>100439</v>
      </c>
      <c r="B440" s="1">
        <v>44945.25</v>
      </c>
      <c r="C440" t="s">
        <v>20</v>
      </c>
      <c r="D440" t="s">
        <v>36</v>
      </c>
      <c r="E440" t="s">
        <v>39</v>
      </c>
      <c r="F440">
        <v>5</v>
      </c>
      <c r="G440" s="4">
        <v>35000</v>
      </c>
      <c r="H440" s="4" t="str">
        <f>IF(Table2[[#This Row],[Price]]=0,"No","Yes")</f>
        <v>Yes</v>
      </c>
      <c r="I440" t="s">
        <v>44</v>
      </c>
      <c r="J440" t="s">
        <v>45</v>
      </c>
      <c r="K440">
        <v>175000</v>
      </c>
      <c r="L440">
        <v>1</v>
      </c>
      <c r="M440">
        <v>2023</v>
      </c>
    </row>
    <row r="441" spans="1:13" hidden="1" x14ac:dyDescent="0.35">
      <c r="A441">
        <v>100440</v>
      </c>
      <c r="B441" s="1">
        <v>44945.291666666657</v>
      </c>
      <c r="C441" t="s">
        <v>17</v>
      </c>
      <c r="D441" t="s">
        <v>32</v>
      </c>
      <c r="E441" t="s">
        <v>40</v>
      </c>
      <c r="F441">
        <v>1</v>
      </c>
      <c r="H441" s="4" t="str">
        <f>IF(Table2[[#This Row],[Price]]=0,"No","Yes")</f>
        <v>No</v>
      </c>
      <c r="I441" t="s">
        <v>43</v>
      </c>
      <c r="J441" t="s">
        <v>46</v>
      </c>
      <c r="K441">
        <v>12000</v>
      </c>
      <c r="L441">
        <v>1</v>
      </c>
      <c r="M441">
        <v>2023</v>
      </c>
    </row>
    <row r="442" spans="1:13" x14ac:dyDescent="0.35">
      <c r="A442">
        <v>100441</v>
      </c>
      <c r="B442" s="1">
        <v>44945.333333333343</v>
      </c>
      <c r="C442" t="s">
        <v>28</v>
      </c>
      <c r="D442" t="s">
        <v>37</v>
      </c>
      <c r="E442" t="s">
        <v>40</v>
      </c>
      <c r="F442">
        <v>2</v>
      </c>
      <c r="G442" s="4">
        <v>65000</v>
      </c>
      <c r="H442" s="4" t="str">
        <f>IF(Table2[[#This Row],[Price]]=0,"No","Yes")</f>
        <v>Yes</v>
      </c>
      <c r="I442" t="s">
        <v>41</v>
      </c>
      <c r="J442" t="s">
        <v>48</v>
      </c>
      <c r="K442">
        <v>130000</v>
      </c>
      <c r="L442">
        <v>1</v>
      </c>
      <c r="M442">
        <v>2023</v>
      </c>
    </row>
    <row r="443" spans="1:13" x14ac:dyDescent="0.35">
      <c r="A443">
        <v>100442</v>
      </c>
      <c r="B443" s="1">
        <v>44945.375</v>
      </c>
      <c r="C443" t="s">
        <v>12</v>
      </c>
      <c r="D443" t="s">
        <v>38</v>
      </c>
      <c r="E443" t="s">
        <v>39</v>
      </c>
      <c r="F443">
        <v>1</v>
      </c>
      <c r="G443" s="4">
        <v>35000</v>
      </c>
      <c r="H443" s="4" t="str">
        <f>IF(Table2[[#This Row],[Price]]=0,"No","Yes")</f>
        <v>Yes</v>
      </c>
      <c r="I443" t="s">
        <v>44</v>
      </c>
      <c r="J443" t="s">
        <v>50</v>
      </c>
      <c r="K443">
        <v>35000</v>
      </c>
      <c r="L443">
        <v>1</v>
      </c>
      <c r="M443">
        <v>2023</v>
      </c>
    </row>
    <row r="444" spans="1:13" x14ac:dyDescent="0.35">
      <c r="A444">
        <v>100443</v>
      </c>
      <c r="B444" s="1">
        <v>44945.416666666657</v>
      </c>
      <c r="C444" t="s">
        <v>18</v>
      </c>
      <c r="D444" t="s">
        <v>33</v>
      </c>
      <c r="E444" t="s">
        <v>39</v>
      </c>
      <c r="F444">
        <v>5</v>
      </c>
      <c r="G444" s="4">
        <v>2500</v>
      </c>
      <c r="H444" s="4" t="str">
        <f>IF(Table2[[#This Row],[Price]]=0,"No","Yes")</f>
        <v>Yes</v>
      </c>
      <c r="I444" t="s">
        <v>44</v>
      </c>
      <c r="J444" t="s">
        <v>46</v>
      </c>
      <c r="K444">
        <v>12500</v>
      </c>
      <c r="L444">
        <v>1</v>
      </c>
      <c r="M444">
        <v>2023</v>
      </c>
    </row>
    <row r="445" spans="1:13" x14ac:dyDescent="0.35">
      <c r="A445">
        <v>100444</v>
      </c>
      <c r="B445" s="1">
        <v>44945.458333333343</v>
      </c>
      <c r="C445" t="s">
        <v>29</v>
      </c>
      <c r="D445" t="s">
        <v>36</v>
      </c>
      <c r="E445" t="s">
        <v>39</v>
      </c>
      <c r="F445">
        <v>5</v>
      </c>
      <c r="G445" s="4">
        <v>22000</v>
      </c>
      <c r="H445" s="4" t="str">
        <f>IF(Table2[[#This Row],[Price]]=0,"No","Yes")</f>
        <v>Yes</v>
      </c>
      <c r="I445" t="s">
        <v>44</v>
      </c>
      <c r="J445" t="s">
        <v>48</v>
      </c>
      <c r="K445">
        <v>110000</v>
      </c>
      <c r="L445">
        <v>1</v>
      </c>
      <c r="M445">
        <v>2023</v>
      </c>
    </row>
    <row r="446" spans="1:13" x14ac:dyDescent="0.35">
      <c r="A446">
        <v>100445</v>
      </c>
      <c r="B446" s="1">
        <v>44945.5</v>
      </c>
      <c r="C446" t="s">
        <v>31</v>
      </c>
      <c r="D446" t="s">
        <v>32</v>
      </c>
      <c r="E446" t="s">
        <v>39</v>
      </c>
      <c r="F446">
        <v>2</v>
      </c>
      <c r="G446" s="4">
        <v>5000</v>
      </c>
      <c r="H446" s="4" t="str">
        <f>IF(Table2[[#This Row],[Price]]=0,"No","Yes")</f>
        <v>Yes</v>
      </c>
      <c r="I446" t="s">
        <v>44</v>
      </c>
      <c r="J446" t="s">
        <v>48</v>
      </c>
      <c r="K446">
        <v>10000</v>
      </c>
      <c r="L446">
        <v>1</v>
      </c>
      <c r="M446">
        <v>2023</v>
      </c>
    </row>
    <row r="447" spans="1:13" x14ac:dyDescent="0.35">
      <c r="A447">
        <v>100446</v>
      </c>
      <c r="B447" s="1">
        <v>44945.541666666657</v>
      </c>
      <c r="C447" t="s">
        <v>15</v>
      </c>
      <c r="D447" t="s">
        <v>35</v>
      </c>
      <c r="E447" t="s">
        <v>39</v>
      </c>
      <c r="F447">
        <v>5</v>
      </c>
      <c r="G447" s="4">
        <v>35000</v>
      </c>
      <c r="H447" s="4" t="str">
        <f>IF(Table2[[#This Row],[Price]]=0,"No","Yes")</f>
        <v>Yes</v>
      </c>
      <c r="I447" t="s">
        <v>43</v>
      </c>
      <c r="J447" t="s">
        <v>47</v>
      </c>
      <c r="K447">
        <v>175000</v>
      </c>
      <c r="L447">
        <v>1</v>
      </c>
      <c r="M447">
        <v>2023</v>
      </c>
    </row>
    <row r="448" spans="1:13" x14ac:dyDescent="0.35">
      <c r="A448">
        <v>100447</v>
      </c>
      <c r="B448" s="1">
        <v>44945.583333333343</v>
      </c>
      <c r="C448" t="s">
        <v>18</v>
      </c>
      <c r="D448" t="s">
        <v>32</v>
      </c>
      <c r="E448" t="s">
        <v>40</v>
      </c>
      <c r="F448">
        <v>3</v>
      </c>
      <c r="G448" s="4">
        <v>45000</v>
      </c>
      <c r="H448" s="4" t="str">
        <f>IF(Table2[[#This Row],[Price]]=0,"No","Yes")</f>
        <v>Yes</v>
      </c>
      <c r="I448" t="s">
        <v>41</v>
      </c>
      <c r="J448" t="s">
        <v>51</v>
      </c>
      <c r="K448">
        <v>135000</v>
      </c>
      <c r="L448">
        <v>1</v>
      </c>
      <c r="M448">
        <v>2023</v>
      </c>
    </row>
    <row r="449" spans="1:13" x14ac:dyDescent="0.35">
      <c r="A449">
        <v>100448</v>
      </c>
      <c r="B449" s="1">
        <v>44945.625</v>
      </c>
      <c r="C449" t="s">
        <v>18</v>
      </c>
      <c r="D449" t="s">
        <v>33</v>
      </c>
      <c r="E449" t="s">
        <v>39</v>
      </c>
      <c r="F449">
        <v>2</v>
      </c>
      <c r="G449" s="4">
        <v>1500</v>
      </c>
      <c r="H449" s="4" t="str">
        <f>IF(Table2[[#This Row],[Price]]=0,"No","Yes")</f>
        <v>Yes</v>
      </c>
      <c r="I449" t="s">
        <v>43</v>
      </c>
      <c r="J449" t="s">
        <v>47</v>
      </c>
      <c r="K449">
        <v>3000</v>
      </c>
      <c r="L449">
        <v>1</v>
      </c>
      <c r="M449">
        <v>2023</v>
      </c>
    </row>
    <row r="450" spans="1:13" x14ac:dyDescent="0.35">
      <c r="A450">
        <v>100449</v>
      </c>
      <c r="B450" s="1">
        <v>44945.666666666657</v>
      </c>
      <c r="C450" t="s">
        <v>25</v>
      </c>
      <c r="D450" t="s">
        <v>36</v>
      </c>
      <c r="E450" t="s">
        <v>40</v>
      </c>
      <c r="F450">
        <v>1</v>
      </c>
      <c r="G450" s="4">
        <v>1500</v>
      </c>
      <c r="H450" s="4" t="str">
        <f>IF(Table2[[#This Row],[Price]]=0,"No","Yes")</f>
        <v>Yes</v>
      </c>
      <c r="I450" t="s">
        <v>42</v>
      </c>
      <c r="J450" t="s">
        <v>50</v>
      </c>
      <c r="K450">
        <v>1500</v>
      </c>
      <c r="L450">
        <v>1</v>
      </c>
      <c r="M450">
        <v>2023</v>
      </c>
    </row>
    <row r="451" spans="1:13" x14ac:dyDescent="0.35">
      <c r="A451">
        <v>100450</v>
      </c>
      <c r="B451" s="1">
        <v>44945.708333333343</v>
      </c>
      <c r="C451" t="s">
        <v>27</v>
      </c>
      <c r="D451" t="s">
        <v>38</v>
      </c>
      <c r="E451" t="s">
        <v>39</v>
      </c>
      <c r="F451">
        <v>3</v>
      </c>
      <c r="G451" s="4">
        <v>22000</v>
      </c>
      <c r="H451" s="4" t="str">
        <f>IF(Table2[[#This Row],[Price]]=0,"No","Yes")</f>
        <v>Yes</v>
      </c>
      <c r="I451" t="s">
        <v>41</v>
      </c>
      <c r="J451" t="s">
        <v>48</v>
      </c>
      <c r="K451">
        <v>66000</v>
      </c>
      <c r="L451">
        <v>1</v>
      </c>
      <c r="M451">
        <v>2023</v>
      </c>
    </row>
    <row r="452" spans="1:13" x14ac:dyDescent="0.35">
      <c r="A452">
        <v>100451</v>
      </c>
      <c r="B452" s="1">
        <v>44945.75</v>
      </c>
      <c r="C452" t="s">
        <v>28</v>
      </c>
      <c r="D452" t="s">
        <v>38</v>
      </c>
      <c r="E452" t="s">
        <v>39</v>
      </c>
      <c r="F452">
        <v>4</v>
      </c>
      <c r="G452" s="4">
        <v>65000</v>
      </c>
      <c r="H452" s="4" t="str">
        <f>IF(Table2[[#This Row],[Price]]=0,"No","Yes")</f>
        <v>Yes</v>
      </c>
      <c r="I452" t="s">
        <v>44</v>
      </c>
      <c r="J452" t="s">
        <v>51</v>
      </c>
      <c r="K452">
        <v>260000</v>
      </c>
      <c r="L452">
        <v>1</v>
      </c>
      <c r="M452">
        <v>2023</v>
      </c>
    </row>
    <row r="453" spans="1:13" x14ac:dyDescent="0.35">
      <c r="A453">
        <v>100452</v>
      </c>
      <c r="B453" s="1">
        <v>44945.791666666657</v>
      </c>
      <c r="C453" t="s">
        <v>19</v>
      </c>
      <c r="D453" t="s">
        <v>34</v>
      </c>
      <c r="E453" t="s">
        <v>39</v>
      </c>
      <c r="F453">
        <v>1</v>
      </c>
      <c r="G453" s="4">
        <v>65000</v>
      </c>
      <c r="H453" s="4" t="str">
        <f>IF(Table2[[#This Row],[Price]]=0,"No","Yes")</f>
        <v>Yes</v>
      </c>
      <c r="I453" t="s">
        <v>43</v>
      </c>
      <c r="J453" t="s">
        <v>46</v>
      </c>
      <c r="K453">
        <v>65000</v>
      </c>
      <c r="L453">
        <v>1</v>
      </c>
      <c r="M453">
        <v>2023</v>
      </c>
    </row>
    <row r="454" spans="1:13" x14ac:dyDescent="0.35">
      <c r="A454">
        <v>100453</v>
      </c>
      <c r="B454" s="1">
        <v>44945.833333333343</v>
      </c>
      <c r="C454" t="s">
        <v>24</v>
      </c>
      <c r="D454" t="s">
        <v>33</v>
      </c>
      <c r="E454" t="s">
        <v>39</v>
      </c>
      <c r="F454">
        <v>3</v>
      </c>
      <c r="G454" s="4">
        <v>18000</v>
      </c>
      <c r="H454" s="4" t="str">
        <f>IF(Table2[[#This Row],[Price]]=0,"No","Yes")</f>
        <v>Yes</v>
      </c>
      <c r="I454" t="s">
        <v>41</v>
      </c>
      <c r="J454" t="s">
        <v>47</v>
      </c>
      <c r="K454">
        <v>54000</v>
      </c>
      <c r="L454">
        <v>1</v>
      </c>
      <c r="M454">
        <v>2023</v>
      </c>
    </row>
    <row r="455" spans="1:13" x14ac:dyDescent="0.35">
      <c r="A455">
        <v>100454</v>
      </c>
      <c r="B455" s="1">
        <v>44945.875</v>
      </c>
      <c r="C455" t="s">
        <v>19</v>
      </c>
      <c r="D455" t="s">
        <v>36</v>
      </c>
      <c r="E455" t="s">
        <v>40</v>
      </c>
      <c r="F455">
        <v>4</v>
      </c>
      <c r="G455" s="4">
        <v>5000</v>
      </c>
      <c r="H455" s="4" t="str">
        <f>IF(Table2[[#This Row],[Price]]=0,"No","Yes")</f>
        <v>Yes</v>
      </c>
      <c r="I455" t="s">
        <v>43</v>
      </c>
      <c r="J455" t="s">
        <v>50</v>
      </c>
      <c r="K455">
        <v>20000</v>
      </c>
      <c r="L455">
        <v>1</v>
      </c>
      <c r="M455">
        <v>2023</v>
      </c>
    </row>
    <row r="456" spans="1:13" x14ac:dyDescent="0.35">
      <c r="A456">
        <v>100455</v>
      </c>
      <c r="B456" s="1">
        <v>44945.916666666657</v>
      </c>
      <c r="C456" t="s">
        <v>26</v>
      </c>
      <c r="D456" t="s">
        <v>32</v>
      </c>
      <c r="E456" t="s">
        <v>39</v>
      </c>
      <c r="F456">
        <v>3</v>
      </c>
      <c r="G456" s="4">
        <v>35000</v>
      </c>
      <c r="H456" s="4" t="str">
        <f>IF(Table2[[#This Row],[Price]]=0,"No","Yes")</f>
        <v>Yes</v>
      </c>
      <c r="I456" t="s">
        <v>41</v>
      </c>
      <c r="J456" t="s">
        <v>46</v>
      </c>
      <c r="K456">
        <v>105000</v>
      </c>
      <c r="L456">
        <v>1</v>
      </c>
      <c r="M456">
        <v>2023</v>
      </c>
    </row>
    <row r="457" spans="1:13" x14ac:dyDescent="0.35">
      <c r="A457">
        <v>100456</v>
      </c>
      <c r="B457" s="1">
        <v>44945.958333333343</v>
      </c>
      <c r="C457" t="s">
        <v>18</v>
      </c>
      <c r="D457" t="s">
        <v>32</v>
      </c>
      <c r="E457" t="s">
        <v>39</v>
      </c>
      <c r="F457">
        <v>1</v>
      </c>
      <c r="G457" s="4">
        <v>18000</v>
      </c>
      <c r="H457" s="4" t="str">
        <f>IF(Table2[[#This Row],[Price]]=0,"No","Yes")</f>
        <v>Yes</v>
      </c>
      <c r="I457" t="s">
        <v>41</v>
      </c>
      <c r="J457" t="s">
        <v>51</v>
      </c>
      <c r="K457">
        <v>18000</v>
      </c>
      <c r="L457">
        <v>1</v>
      </c>
      <c r="M457">
        <v>2023</v>
      </c>
    </row>
    <row r="458" spans="1:13" x14ac:dyDescent="0.35">
      <c r="A458">
        <v>100457</v>
      </c>
      <c r="B458" s="1">
        <v>44946</v>
      </c>
      <c r="C458" t="s">
        <v>29</v>
      </c>
      <c r="D458" t="s">
        <v>33</v>
      </c>
      <c r="E458" t="s">
        <v>39</v>
      </c>
      <c r="F458">
        <v>3</v>
      </c>
      <c r="G458" s="4">
        <v>2500</v>
      </c>
      <c r="H458" s="4" t="str">
        <f>IF(Table2[[#This Row],[Price]]=0,"No","Yes")</f>
        <v>Yes</v>
      </c>
      <c r="I458" t="s">
        <v>44</v>
      </c>
      <c r="J458" t="s">
        <v>48</v>
      </c>
      <c r="K458">
        <v>7500</v>
      </c>
      <c r="L458">
        <v>1</v>
      </c>
      <c r="M458">
        <v>2023</v>
      </c>
    </row>
    <row r="459" spans="1:13" hidden="1" x14ac:dyDescent="0.35">
      <c r="A459">
        <v>100458</v>
      </c>
      <c r="B459" s="1">
        <v>44946.041666666657</v>
      </c>
      <c r="C459" t="s">
        <v>24</v>
      </c>
      <c r="D459" t="s">
        <v>36</v>
      </c>
      <c r="E459" t="s">
        <v>39</v>
      </c>
      <c r="F459">
        <v>2</v>
      </c>
      <c r="H459" s="4" t="str">
        <f>IF(Table2[[#This Row],[Price]]=0,"No","Yes")</f>
        <v>No</v>
      </c>
      <c r="I459" t="s">
        <v>44</v>
      </c>
      <c r="J459" t="s">
        <v>50</v>
      </c>
      <c r="K459">
        <v>3000</v>
      </c>
      <c r="L459">
        <v>1</v>
      </c>
      <c r="M459">
        <v>2023</v>
      </c>
    </row>
    <row r="460" spans="1:13" x14ac:dyDescent="0.35">
      <c r="A460">
        <v>100459</v>
      </c>
      <c r="B460" s="1">
        <v>44946.083333333343</v>
      </c>
      <c r="C460" t="s">
        <v>12</v>
      </c>
      <c r="D460" t="s">
        <v>32</v>
      </c>
      <c r="E460" t="s">
        <v>40</v>
      </c>
      <c r="F460">
        <v>3</v>
      </c>
      <c r="G460" s="4">
        <v>35000</v>
      </c>
      <c r="H460" s="4" t="str">
        <f>IF(Table2[[#This Row],[Price]]=0,"No","Yes")</f>
        <v>Yes</v>
      </c>
      <c r="I460" t="s">
        <v>41</v>
      </c>
      <c r="J460" t="s">
        <v>51</v>
      </c>
      <c r="K460">
        <v>105000</v>
      </c>
      <c r="L460">
        <v>1</v>
      </c>
      <c r="M460">
        <v>2023</v>
      </c>
    </row>
    <row r="461" spans="1:13" x14ac:dyDescent="0.35">
      <c r="A461">
        <v>100460</v>
      </c>
      <c r="B461" s="1">
        <v>44946.125</v>
      </c>
      <c r="C461" t="s">
        <v>27</v>
      </c>
      <c r="D461" t="s">
        <v>37</v>
      </c>
      <c r="E461" t="s">
        <v>40</v>
      </c>
      <c r="F461">
        <v>5</v>
      </c>
      <c r="G461" s="4">
        <v>12000</v>
      </c>
      <c r="H461" s="4" t="str">
        <f>IF(Table2[[#This Row],[Price]]=0,"No","Yes")</f>
        <v>Yes</v>
      </c>
      <c r="I461" t="s">
        <v>42</v>
      </c>
      <c r="J461" t="s">
        <v>47</v>
      </c>
      <c r="K461">
        <v>60000</v>
      </c>
      <c r="L461">
        <v>1</v>
      </c>
      <c r="M461">
        <v>2023</v>
      </c>
    </row>
    <row r="462" spans="1:13" x14ac:dyDescent="0.35">
      <c r="A462">
        <v>100461</v>
      </c>
      <c r="B462" s="1">
        <v>44946.166666666657</v>
      </c>
      <c r="C462" t="s">
        <v>21</v>
      </c>
      <c r="D462" t="s">
        <v>35</v>
      </c>
      <c r="E462" t="s">
        <v>40</v>
      </c>
      <c r="F462">
        <v>5</v>
      </c>
      <c r="G462" s="4">
        <v>55000</v>
      </c>
      <c r="H462" s="4" t="str">
        <f>IF(Table2[[#This Row],[Price]]=0,"No","Yes")</f>
        <v>Yes</v>
      </c>
      <c r="I462" t="s">
        <v>43</v>
      </c>
      <c r="J462" t="s">
        <v>48</v>
      </c>
      <c r="K462">
        <v>275000</v>
      </c>
      <c r="L462">
        <v>1</v>
      </c>
      <c r="M462">
        <v>2023</v>
      </c>
    </row>
    <row r="463" spans="1:13" x14ac:dyDescent="0.35">
      <c r="A463">
        <v>100462</v>
      </c>
      <c r="B463" s="1">
        <v>44946.208333333343</v>
      </c>
      <c r="C463" t="s">
        <v>24</v>
      </c>
      <c r="D463" t="s">
        <v>33</v>
      </c>
      <c r="E463" t="s">
        <v>40</v>
      </c>
      <c r="F463">
        <v>2</v>
      </c>
      <c r="G463" s="4">
        <v>2500</v>
      </c>
      <c r="H463" s="4" t="str">
        <f>IF(Table2[[#This Row],[Price]]=0,"No","Yes")</f>
        <v>Yes</v>
      </c>
      <c r="I463" t="s">
        <v>43</v>
      </c>
      <c r="J463" t="s">
        <v>46</v>
      </c>
      <c r="K463">
        <v>5000</v>
      </c>
      <c r="L463">
        <v>1</v>
      </c>
      <c r="M463">
        <v>2023</v>
      </c>
    </row>
    <row r="464" spans="1:13" x14ac:dyDescent="0.35">
      <c r="A464">
        <v>100463</v>
      </c>
      <c r="B464" s="1">
        <v>44946.25</v>
      </c>
      <c r="C464" t="s">
        <v>31</v>
      </c>
      <c r="D464" t="s">
        <v>34</v>
      </c>
      <c r="E464" t="s">
        <v>39</v>
      </c>
      <c r="F464">
        <v>4</v>
      </c>
      <c r="G464" s="4">
        <v>35000</v>
      </c>
      <c r="H464" s="4" t="str">
        <f>IF(Table2[[#This Row],[Price]]=0,"No","Yes")</f>
        <v>Yes</v>
      </c>
      <c r="I464" t="s">
        <v>43</v>
      </c>
      <c r="J464" t="s">
        <v>48</v>
      </c>
      <c r="K464">
        <v>140000</v>
      </c>
      <c r="L464">
        <v>1</v>
      </c>
      <c r="M464">
        <v>2023</v>
      </c>
    </row>
    <row r="465" spans="1:13" x14ac:dyDescent="0.35">
      <c r="A465">
        <v>100464</v>
      </c>
      <c r="B465" s="1">
        <v>44946.291666666657</v>
      </c>
      <c r="C465" t="s">
        <v>19</v>
      </c>
      <c r="D465" t="s">
        <v>38</v>
      </c>
      <c r="E465" t="s">
        <v>39</v>
      </c>
      <c r="F465">
        <v>5</v>
      </c>
      <c r="G465" s="4">
        <v>18000</v>
      </c>
      <c r="H465" s="4" t="str">
        <f>IF(Table2[[#This Row],[Price]]=0,"No","Yes")</f>
        <v>Yes</v>
      </c>
      <c r="I465" t="s">
        <v>43</v>
      </c>
      <c r="J465" t="s">
        <v>47</v>
      </c>
      <c r="K465">
        <v>90000</v>
      </c>
      <c r="L465">
        <v>1</v>
      </c>
      <c r="M465">
        <v>2023</v>
      </c>
    </row>
    <row r="466" spans="1:13" x14ac:dyDescent="0.35">
      <c r="A466">
        <v>100465</v>
      </c>
      <c r="B466" s="1">
        <v>44946.333333333343</v>
      </c>
      <c r="C466" t="s">
        <v>28</v>
      </c>
      <c r="D466" t="s">
        <v>32</v>
      </c>
      <c r="E466" t="s">
        <v>39</v>
      </c>
      <c r="F466">
        <v>5</v>
      </c>
      <c r="G466" s="4">
        <v>2500</v>
      </c>
      <c r="H466" s="4" t="str">
        <f>IF(Table2[[#This Row],[Price]]=0,"No","Yes")</f>
        <v>Yes</v>
      </c>
      <c r="I466" t="s">
        <v>41</v>
      </c>
      <c r="J466" t="s">
        <v>49</v>
      </c>
      <c r="K466">
        <v>12500</v>
      </c>
      <c r="L466">
        <v>1</v>
      </c>
      <c r="M466">
        <v>2023</v>
      </c>
    </row>
    <row r="467" spans="1:13" x14ac:dyDescent="0.35">
      <c r="A467">
        <v>100466</v>
      </c>
      <c r="B467" s="1">
        <v>44946.375</v>
      </c>
      <c r="C467" t="s">
        <v>24</v>
      </c>
      <c r="D467" t="s">
        <v>35</v>
      </c>
      <c r="E467" t="s">
        <v>39</v>
      </c>
      <c r="F467">
        <v>2</v>
      </c>
      <c r="G467" s="4">
        <v>18000</v>
      </c>
      <c r="H467" s="4" t="str">
        <f>IF(Table2[[#This Row],[Price]]=0,"No","Yes")</f>
        <v>Yes</v>
      </c>
      <c r="I467" t="s">
        <v>42</v>
      </c>
      <c r="J467" t="s">
        <v>46</v>
      </c>
      <c r="K467">
        <v>36000</v>
      </c>
      <c r="L467">
        <v>1</v>
      </c>
      <c r="M467">
        <v>2023</v>
      </c>
    </row>
    <row r="468" spans="1:13" x14ac:dyDescent="0.35">
      <c r="A468">
        <v>100467</v>
      </c>
      <c r="B468" s="1">
        <v>44946.416666666657</v>
      </c>
      <c r="C468" t="s">
        <v>24</v>
      </c>
      <c r="D468" t="s">
        <v>36</v>
      </c>
      <c r="E468" t="s">
        <v>40</v>
      </c>
      <c r="F468">
        <v>4</v>
      </c>
      <c r="G468" s="4">
        <v>2500</v>
      </c>
      <c r="H468" s="4" t="str">
        <f>IF(Table2[[#This Row],[Price]]=0,"No","Yes")</f>
        <v>Yes</v>
      </c>
      <c r="I468" t="s">
        <v>41</v>
      </c>
      <c r="J468" t="s">
        <v>47</v>
      </c>
      <c r="K468">
        <v>10000</v>
      </c>
      <c r="L468">
        <v>1</v>
      </c>
      <c r="M468">
        <v>2023</v>
      </c>
    </row>
    <row r="469" spans="1:13" x14ac:dyDescent="0.35">
      <c r="A469">
        <v>100468</v>
      </c>
      <c r="B469" s="1">
        <v>44946.458333333343</v>
      </c>
      <c r="C469" t="s">
        <v>13</v>
      </c>
      <c r="D469" t="s">
        <v>32</v>
      </c>
      <c r="E469" t="s">
        <v>39</v>
      </c>
      <c r="F469">
        <v>1</v>
      </c>
      <c r="G469" s="4">
        <v>45000</v>
      </c>
      <c r="H469" s="4" t="str">
        <f>IF(Table2[[#This Row],[Price]]=0,"No","Yes")</f>
        <v>Yes</v>
      </c>
      <c r="I469" t="s">
        <v>44</v>
      </c>
      <c r="J469" t="s">
        <v>45</v>
      </c>
      <c r="K469">
        <v>45000</v>
      </c>
      <c r="L469">
        <v>1</v>
      </c>
      <c r="M469">
        <v>2023</v>
      </c>
    </row>
    <row r="470" spans="1:13" x14ac:dyDescent="0.35">
      <c r="A470">
        <v>100469</v>
      </c>
      <c r="B470" s="1">
        <v>44946.5</v>
      </c>
      <c r="C470" t="s">
        <v>26</v>
      </c>
      <c r="D470" t="s">
        <v>33</v>
      </c>
      <c r="E470" t="s">
        <v>39</v>
      </c>
      <c r="F470">
        <v>5</v>
      </c>
      <c r="G470" s="4">
        <v>45000</v>
      </c>
      <c r="H470" s="4" t="str">
        <f>IF(Table2[[#This Row],[Price]]=0,"No","Yes")</f>
        <v>Yes</v>
      </c>
      <c r="I470" t="s">
        <v>44</v>
      </c>
      <c r="J470" t="s">
        <v>48</v>
      </c>
      <c r="K470">
        <v>225000</v>
      </c>
      <c r="L470">
        <v>1</v>
      </c>
      <c r="M470">
        <v>2023</v>
      </c>
    </row>
    <row r="471" spans="1:13" x14ac:dyDescent="0.35">
      <c r="A471">
        <v>100470</v>
      </c>
      <c r="B471" s="1">
        <v>44946.541666666657</v>
      </c>
      <c r="C471" t="s">
        <v>31</v>
      </c>
      <c r="D471" t="s">
        <v>36</v>
      </c>
      <c r="E471" t="s">
        <v>40</v>
      </c>
      <c r="F471">
        <v>5</v>
      </c>
      <c r="G471" s="4">
        <v>18000</v>
      </c>
      <c r="H471" s="4" t="str">
        <f>IF(Table2[[#This Row],[Price]]=0,"No","Yes")</f>
        <v>Yes</v>
      </c>
      <c r="I471" t="s">
        <v>41</v>
      </c>
      <c r="J471" t="s">
        <v>49</v>
      </c>
      <c r="K471">
        <v>90000</v>
      </c>
      <c r="L471">
        <v>1</v>
      </c>
      <c r="M471">
        <v>2023</v>
      </c>
    </row>
    <row r="472" spans="1:13" x14ac:dyDescent="0.35">
      <c r="A472">
        <v>100471</v>
      </c>
      <c r="B472" s="1">
        <v>44946.583333333343</v>
      </c>
      <c r="C472" t="s">
        <v>17</v>
      </c>
      <c r="D472" t="s">
        <v>35</v>
      </c>
      <c r="E472" t="s">
        <v>39</v>
      </c>
      <c r="F472">
        <v>5</v>
      </c>
      <c r="G472" s="4">
        <v>22000</v>
      </c>
      <c r="H472" s="4" t="str">
        <f>IF(Table2[[#This Row],[Price]]=0,"No","Yes")</f>
        <v>Yes</v>
      </c>
      <c r="I472" t="s">
        <v>44</v>
      </c>
      <c r="J472" t="s">
        <v>46</v>
      </c>
      <c r="K472">
        <v>110000</v>
      </c>
      <c r="L472">
        <v>1</v>
      </c>
      <c r="M472">
        <v>2023</v>
      </c>
    </row>
    <row r="473" spans="1:13" x14ac:dyDescent="0.35">
      <c r="A473">
        <v>100472</v>
      </c>
      <c r="B473" s="1">
        <v>44946.625</v>
      </c>
      <c r="C473" t="s">
        <v>24</v>
      </c>
      <c r="D473" t="s">
        <v>35</v>
      </c>
      <c r="E473" t="s">
        <v>39</v>
      </c>
      <c r="F473">
        <v>1</v>
      </c>
      <c r="G473" s="4">
        <v>65000</v>
      </c>
      <c r="H473" s="4" t="str">
        <f>IF(Table2[[#This Row],[Price]]=0,"No","Yes")</f>
        <v>Yes</v>
      </c>
      <c r="I473" t="s">
        <v>44</v>
      </c>
      <c r="J473" t="s">
        <v>45</v>
      </c>
      <c r="K473">
        <v>65000</v>
      </c>
      <c r="L473">
        <v>1</v>
      </c>
      <c r="M473">
        <v>2023</v>
      </c>
    </row>
    <row r="474" spans="1:13" x14ac:dyDescent="0.35">
      <c r="A474">
        <v>100473</v>
      </c>
      <c r="B474" s="1">
        <v>44946.666666666657</v>
      </c>
      <c r="C474" t="s">
        <v>18</v>
      </c>
      <c r="D474" t="s">
        <v>37</v>
      </c>
      <c r="E474" t="s">
        <v>39</v>
      </c>
      <c r="F474">
        <v>4</v>
      </c>
      <c r="G474" s="4">
        <v>18000</v>
      </c>
      <c r="H474" s="4" t="str">
        <f>IF(Table2[[#This Row],[Price]]=0,"No","Yes")</f>
        <v>Yes</v>
      </c>
      <c r="I474" t="s">
        <v>41</v>
      </c>
      <c r="J474" t="s">
        <v>45</v>
      </c>
      <c r="K474">
        <v>72000</v>
      </c>
      <c r="L474">
        <v>1</v>
      </c>
      <c r="M474">
        <v>2023</v>
      </c>
    </row>
    <row r="475" spans="1:13" x14ac:dyDescent="0.35">
      <c r="A475">
        <v>100474</v>
      </c>
      <c r="B475" s="1">
        <v>44946.708333333343</v>
      </c>
      <c r="C475" t="s">
        <v>21</v>
      </c>
      <c r="D475" t="s">
        <v>38</v>
      </c>
      <c r="E475" t="s">
        <v>40</v>
      </c>
      <c r="F475">
        <v>1</v>
      </c>
      <c r="G475" s="4">
        <v>5000</v>
      </c>
      <c r="H475" s="4" t="str">
        <f>IF(Table2[[#This Row],[Price]]=0,"No","Yes")</f>
        <v>Yes</v>
      </c>
      <c r="I475" t="s">
        <v>42</v>
      </c>
      <c r="J475" t="s">
        <v>48</v>
      </c>
      <c r="K475">
        <v>5000</v>
      </c>
      <c r="L475">
        <v>1</v>
      </c>
      <c r="M475">
        <v>2023</v>
      </c>
    </row>
    <row r="476" spans="1:13" x14ac:dyDescent="0.35">
      <c r="A476">
        <v>100475</v>
      </c>
      <c r="B476" s="1">
        <v>44946.75</v>
      </c>
      <c r="C476" t="s">
        <v>28</v>
      </c>
      <c r="D476" t="s">
        <v>36</v>
      </c>
      <c r="E476" t="s">
        <v>39</v>
      </c>
      <c r="F476">
        <v>3</v>
      </c>
      <c r="G476" s="4">
        <v>18000</v>
      </c>
      <c r="H476" s="4" t="str">
        <f>IF(Table2[[#This Row],[Price]]=0,"No","Yes")</f>
        <v>Yes</v>
      </c>
      <c r="I476" t="s">
        <v>44</v>
      </c>
      <c r="J476" t="s">
        <v>46</v>
      </c>
      <c r="K476">
        <v>54000</v>
      </c>
      <c r="L476">
        <v>1</v>
      </c>
      <c r="M476">
        <v>2023</v>
      </c>
    </row>
    <row r="477" spans="1:13" x14ac:dyDescent="0.35">
      <c r="A477">
        <v>100476</v>
      </c>
      <c r="B477" s="1">
        <v>44946.791666666657</v>
      </c>
      <c r="C477" t="s">
        <v>17</v>
      </c>
      <c r="D477" t="s">
        <v>34</v>
      </c>
      <c r="E477" t="s">
        <v>40</v>
      </c>
      <c r="F477">
        <v>1</v>
      </c>
      <c r="G477" s="4">
        <v>65000</v>
      </c>
      <c r="H477" s="4" t="str">
        <f>IF(Table2[[#This Row],[Price]]=0,"No","Yes")</f>
        <v>Yes</v>
      </c>
      <c r="I477" t="s">
        <v>44</v>
      </c>
      <c r="J477" t="s">
        <v>50</v>
      </c>
      <c r="K477">
        <v>65000</v>
      </c>
      <c r="L477">
        <v>1</v>
      </c>
      <c r="M477">
        <v>2023</v>
      </c>
    </row>
    <row r="478" spans="1:13" x14ac:dyDescent="0.35">
      <c r="A478">
        <v>100477</v>
      </c>
      <c r="B478" s="1">
        <v>44946.833333333343</v>
      </c>
      <c r="C478" t="s">
        <v>21</v>
      </c>
      <c r="D478" t="s">
        <v>38</v>
      </c>
      <c r="E478" t="s">
        <v>39</v>
      </c>
      <c r="F478">
        <v>1</v>
      </c>
      <c r="G478" s="4">
        <v>1500</v>
      </c>
      <c r="H478" s="4" t="str">
        <f>IF(Table2[[#This Row],[Price]]=0,"No","Yes")</f>
        <v>Yes</v>
      </c>
      <c r="I478" t="s">
        <v>44</v>
      </c>
      <c r="J478" t="s">
        <v>45</v>
      </c>
      <c r="K478">
        <v>1500</v>
      </c>
      <c r="L478">
        <v>1</v>
      </c>
      <c r="M478">
        <v>2023</v>
      </c>
    </row>
    <row r="479" spans="1:13" x14ac:dyDescent="0.35">
      <c r="A479">
        <v>100478</v>
      </c>
      <c r="B479" s="1">
        <v>44946.875</v>
      </c>
      <c r="C479" t="s">
        <v>28</v>
      </c>
      <c r="D479" t="s">
        <v>36</v>
      </c>
      <c r="E479" t="s">
        <v>39</v>
      </c>
      <c r="F479">
        <v>4</v>
      </c>
      <c r="G479" s="4">
        <v>12000</v>
      </c>
      <c r="H479" s="4" t="str">
        <f>IF(Table2[[#This Row],[Price]]=0,"No","Yes")</f>
        <v>Yes</v>
      </c>
      <c r="I479" t="s">
        <v>41</v>
      </c>
      <c r="J479" t="s">
        <v>51</v>
      </c>
      <c r="K479">
        <v>48000</v>
      </c>
      <c r="L479">
        <v>1</v>
      </c>
      <c r="M479">
        <v>2023</v>
      </c>
    </row>
    <row r="480" spans="1:13" x14ac:dyDescent="0.35">
      <c r="A480">
        <v>100479</v>
      </c>
      <c r="B480" s="1">
        <v>44946.916666666657</v>
      </c>
      <c r="C480" t="s">
        <v>12</v>
      </c>
      <c r="D480" t="s">
        <v>37</v>
      </c>
      <c r="E480" t="s">
        <v>39</v>
      </c>
      <c r="F480">
        <v>2</v>
      </c>
      <c r="G480" s="4">
        <v>45000</v>
      </c>
      <c r="H480" s="4" t="str">
        <f>IF(Table2[[#This Row],[Price]]=0,"No","Yes")</f>
        <v>Yes</v>
      </c>
      <c r="I480" t="s">
        <v>44</v>
      </c>
      <c r="J480" t="s">
        <v>50</v>
      </c>
      <c r="K480">
        <v>90000</v>
      </c>
      <c r="L480">
        <v>1</v>
      </c>
      <c r="M480">
        <v>2023</v>
      </c>
    </row>
    <row r="481" spans="1:13" x14ac:dyDescent="0.35">
      <c r="A481">
        <v>100480</v>
      </c>
      <c r="B481" s="1">
        <v>44946.958333333343</v>
      </c>
      <c r="C481" t="s">
        <v>30</v>
      </c>
      <c r="D481" t="s">
        <v>36</v>
      </c>
      <c r="E481" t="s">
        <v>39</v>
      </c>
      <c r="F481">
        <v>1</v>
      </c>
      <c r="G481" s="4">
        <v>5000</v>
      </c>
      <c r="H481" s="4" t="str">
        <f>IF(Table2[[#This Row],[Price]]=0,"No","Yes")</f>
        <v>Yes</v>
      </c>
      <c r="I481" t="s">
        <v>41</v>
      </c>
      <c r="J481" t="s">
        <v>49</v>
      </c>
      <c r="K481">
        <v>5000</v>
      </c>
      <c r="L481">
        <v>1</v>
      </c>
      <c r="M481">
        <v>2023</v>
      </c>
    </row>
    <row r="482" spans="1:13" x14ac:dyDescent="0.35">
      <c r="A482">
        <v>100481</v>
      </c>
      <c r="B482" s="1">
        <v>44947</v>
      </c>
      <c r="C482" t="s">
        <v>13</v>
      </c>
      <c r="D482" t="s">
        <v>37</v>
      </c>
      <c r="E482" t="s">
        <v>40</v>
      </c>
      <c r="F482">
        <v>5</v>
      </c>
      <c r="G482" s="4">
        <v>12000</v>
      </c>
      <c r="H482" s="4" t="str">
        <f>IF(Table2[[#This Row],[Price]]=0,"No","Yes")</f>
        <v>Yes</v>
      </c>
      <c r="I482" t="s">
        <v>42</v>
      </c>
      <c r="J482" t="s">
        <v>50</v>
      </c>
      <c r="K482">
        <v>60000</v>
      </c>
      <c r="L482">
        <v>1</v>
      </c>
      <c r="M482">
        <v>2023</v>
      </c>
    </row>
    <row r="483" spans="1:13" x14ac:dyDescent="0.35">
      <c r="A483">
        <v>100482</v>
      </c>
      <c r="B483" s="1">
        <v>44947.041666666657</v>
      </c>
      <c r="C483" t="s">
        <v>17</v>
      </c>
      <c r="D483" t="s">
        <v>35</v>
      </c>
      <c r="E483" t="s">
        <v>39</v>
      </c>
      <c r="F483">
        <v>3</v>
      </c>
      <c r="G483" s="4">
        <v>22000</v>
      </c>
      <c r="H483" s="4" t="str">
        <f>IF(Table2[[#This Row],[Price]]=0,"No","Yes")</f>
        <v>Yes</v>
      </c>
      <c r="I483" t="s">
        <v>41</v>
      </c>
      <c r="J483" t="s">
        <v>48</v>
      </c>
      <c r="K483">
        <v>66000</v>
      </c>
      <c r="L483">
        <v>1</v>
      </c>
      <c r="M483">
        <v>2023</v>
      </c>
    </row>
    <row r="484" spans="1:13" x14ac:dyDescent="0.35">
      <c r="A484">
        <v>100483</v>
      </c>
      <c r="B484" s="1">
        <v>44947.083333333343</v>
      </c>
      <c r="C484" t="s">
        <v>14</v>
      </c>
      <c r="D484" t="s">
        <v>33</v>
      </c>
      <c r="E484" t="s">
        <v>40</v>
      </c>
      <c r="F484">
        <v>3</v>
      </c>
      <c r="G484" s="4">
        <v>18000</v>
      </c>
      <c r="H484" s="4" t="str">
        <f>IF(Table2[[#This Row],[Price]]=0,"No","Yes")</f>
        <v>Yes</v>
      </c>
      <c r="I484" t="s">
        <v>41</v>
      </c>
      <c r="J484" t="s">
        <v>51</v>
      </c>
      <c r="K484">
        <v>54000</v>
      </c>
      <c r="L484">
        <v>1</v>
      </c>
      <c r="M484">
        <v>2023</v>
      </c>
    </row>
    <row r="485" spans="1:13" x14ac:dyDescent="0.35">
      <c r="A485">
        <v>100484</v>
      </c>
      <c r="B485" s="1">
        <v>44947.125</v>
      </c>
      <c r="C485" t="s">
        <v>26</v>
      </c>
      <c r="D485" t="s">
        <v>35</v>
      </c>
      <c r="E485" t="s">
        <v>39</v>
      </c>
      <c r="F485">
        <v>5</v>
      </c>
      <c r="G485" s="4">
        <v>22000</v>
      </c>
      <c r="H485" s="4" t="str">
        <f>IF(Table2[[#This Row],[Price]]=0,"No","Yes")</f>
        <v>Yes</v>
      </c>
      <c r="I485" t="s">
        <v>44</v>
      </c>
      <c r="J485" t="s">
        <v>51</v>
      </c>
      <c r="K485">
        <v>110000</v>
      </c>
      <c r="L485">
        <v>1</v>
      </c>
      <c r="M485">
        <v>2023</v>
      </c>
    </row>
    <row r="486" spans="1:13" x14ac:dyDescent="0.35">
      <c r="A486">
        <v>100485</v>
      </c>
      <c r="B486" s="1">
        <v>44947.166666666657</v>
      </c>
      <c r="C486" t="s">
        <v>27</v>
      </c>
      <c r="D486" t="s">
        <v>36</v>
      </c>
      <c r="E486" t="s">
        <v>39</v>
      </c>
      <c r="F486">
        <v>4</v>
      </c>
      <c r="G486" s="4">
        <v>22000</v>
      </c>
      <c r="H486" s="4" t="str">
        <f>IF(Table2[[#This Row],[Price]]=0,"No","Yes")</f>
        <v>Yes</v>
      </c>
      <c r="I486" t="s">
        <v>41</v>
      </c>
      <c r="J486" t="s">
        <v>45</v>
      </c>
      <c r="K486">
        <v>88000</v>
      </c>
      <c r="L486">
        <v>1</v>
      </c>
      <c r="M486">
        <v>2023</v>
      </c>
    </row>
    <row r="487" spans="1:13" x14ac:dyDescent="0.35">
      <c r="A487">
        <v>100486</v>
      </c>
      <c r="B487" s="1">
        <v>44947.208333333343</v>
      </c>
      <c r="C487" t="s">
        <v>19</v>
      </c>
      <c r="D487" t="s">
        <v>33</v>
      </c>
      <c r="E487" t="s">
        <v>39</v>
      </c>
      <c r="F487">
        <v>1</v>
      </c>
      <c r="G487" s="4">
        <v>65000</v>
      </c>
      <c r="H487" s="4" t="str">
        <f>IF(Table2[[#This Row],[Price]]=0,"No","Yes")</f>
        <v>Yes</v>
      </c>
      <c r="I487" t="s">
        <v>42</v>
      </c>
      <c r="J487" t="s">
        <v>49</v>
      </c>
      <c r="K487">
        <v>65000</v>
      </c>
      <c r="L487">
        <v>1</v>
      </c>
      <c r="M487">
        <v>2023</v>
      </c>
    </row>
    <row r="488" spans="1:13" x14ac:dyDescent="0.35">
      <c r="A488">
        <v>100487</v>
      </c>
      <c r="B488" s="1">
        <v>44947.25</v>
      </c>
      <c r="C488" t="s">
        <v>21</v>
      </c>
      <c r="D488" t="s">
        <v>33</v>
      </c>
      <c r="E488" t="s">
        <v>39</v>
      </c>
      <c r="F488">
        <v>4</v>
      </c>
      <c r="G488" s="4">
        <v>2500</v>
      </c>
      <c r="H488" s="4" t="str">
        <f>IF(Table2[[#This Row],[Price]]=0,"No","Yes")</f>
        <v>Yes</v>
      </c>
      <c r="I488" t="s">
        <v>42</v>
      </c>
      <c r="J488" t="s">
        <v>47</v>
      </c>
      <c r="K488">
        <v>10000</v>
      </c>
      <c r="L488">
        <v>1</v>
      </c>
      <c r="M488">
        <v>2023</v>
      </c>
    </row>
    <row r="489" spans="1:13" hidden="1" x14ac:dyDescent="0.35">
      <c r="A489">
        <v>100488</v>
      </c>
      <c r="B489" s="1">
        <v>44947.291666666657</v>
      </c>
      <c r="C489" t="s">
        <v>13</v>
      </c>
      <c r="D489" t="s">
        <v>35</v>
      </c>
      <c r="E489" t="s">
        <v>40</v>
      </c>
      <c r="F489">
        <v>4</v>
      </c>
      <c r="H489" s="4" t="str">
        <f>IF(Table2[[#This Row],[Price]]=0,"No","Yes")</f>
        <v>No</v>
      </c>
      <c r="I489" t="s">
        <v>44</v>
      </c>
      <c r="J489" t="s">
        <v>48</v>
      </c>
      <c r="K489">
        <v>6000</v>
      </c>
      <c r="L489">
        <v>1</v>
      </c>
      <c r="M489">
        <v>2023</v>
      </c>
    </row>
    <row r="490" spans="1:13" x14ac:dyDescent="0.35">
      <c r="A490">
        <v>100489</v>
      </c>
      <c r="B490" s="1">
        <v>44947.333333333343</v>
      </c>
      <c r="C490" t="s">
        <v>18</v>
      </c>
      <c r="D490" t="s">
        <v>37</v>
      </c>
      <c r="E490" t="s">
        <v>39</v>
      </c>
      <c r="F490">
        <v>1</v>
      </c>
      <c r="G490" s="4">
        <v>65000</v>
      </c>
      <c r="H490" s="4" t="str">
        <f>IF(Table2[[#This Row],[Price]]=0,"No","Yes")</f>
        <v>Yes</v>
      </c>
      <c r="I490" t="s">
        <v>43</v>
      </c>
      <c r="J490" t="s">
        <v>51</v>
      </c>
      <c r="K490">
        <v>65000</v>
      </c>
      <c r="L490">
        <v>1</v>
      </c>
      <c r="M490">
        <v>2023</v>
      </c>
    </row>
    <row r="491" spans="1:13" x14ac:dyDescent="0.35">
      <c r="A491">
        <v>100490</v>
      </c>
      <c r="B491" s="1">
        <v>44947.375</v>
      </c>
      <c r="C491" t="s">
        <v>26</v>
      </c>
      <c r="D491" t="s">
        <v>37</v>
      </c>
      <c r="E491" t="s">
        <v>39</v>
      </c>
      <c r="F491">
        <v>5</v>
      </c>
      <c r="G491" s="4">
        <v>12000</v>
      </c>
      <c r="H491" s="4" t="str">
        <f>IF(Table2[[#This Row],[Price]]=0,"No","Yes")</f>
        <v>Yes</v>
      </c>
      <c r="I491" t="s">
        <v>41</v>
      </c>
      <c r="J491" t="s">
        <v>51</v>
      </c>
      <c r="K491">
        <v>60000</v>
      </c>
      <c r="L491">
        <v>1</v>
      </c>
      <c r="M491">
        <v>2023</v>
      </c>
    </row>
    <row r="492" spans="1:13" x14ac:dyDescent="0.35">
      <c r="A492">
        <v>100491</v>
      </c>
      <c r="B492" s="1">
        <v>44947.416666666657</v>
      </c>
      <c r="C492" t="s">
        <v>12</v>
      </c>
      <c r="D492" t="s">
        <v>37</v>
      </c>
      <c r="E492" t="s">
        <v>39</v>
      </c>
      <c r="F492">
        <v>1</v>
      </c>
      <c r="G492" s="4">
        <v>5000</v>
      </c>
      <c r="H492" s="4" t="str">
        <f>IF(Table2[[#This Row],[Price]]=0,"No","Yes")</f>
        <v>Yes</v>
      </c>
      <c r="I492" t="s">
        <v>41</v>
      </c>
      <c r="J492" t="s">
        <v>46</v>
      </c>
      <c r="K492">
        <v>5000</v>
      </c>
      <c r="L492">
        <v>1</v>
      </c>
      <c r="M492">
        <v>2023</v>
      </c>
    </row>
    <row r="493" spans="1:13" x14ac:dyDescent="0.35">
      <c r="A493">
        <v>100492</v>
      </c>
      <c r="B493" s="1">
        <v>44947.458333333343</v>
      </c>
      <c r="C493" t="s">
        <v>31</v>
      </c>
      <c r="D493" t="s">
        <v>36</v>
      </c>
      <c r="E493" t="s">
        <v>39</v>
      </c>
      <c r="F493">
        <v>2</v>
      </c>
      <c r="G493" s="4">
        <v>1500</v>
      </c>
      <c r="H493" s="4" t="str">
        <f>IF(Table2[[#This Row],[Price]]=0,"No","Yes")</f>
        <v>Yes</v>
      </c>
      <c r="I493" t="s">
        <v>41</v>
      </c>
      <c r="J493" t="s">
        <v>47</v>
      </c>
      <c r="K493">
        <v>3000</v>
      </c>
      <c r="L493">
        <v>1</v>
      </c>
      <c r="M493">
        <v>2023</v>
      </c>
    </row>
    <row r="494" spans="1:13" x14ac:dyDescent="0.35">
      <c r="A494">
        <v>100493</v>
      </c>
      <c r="B494" s="1">
        <v>44947.5</v>
      </c>
      <c r="C494" t="s">
        <v>25</v>
      </c>
      <c r="D494" t="s">
        <v>36</v>
      </c>
      <c r="E494" t="s">
        <v>39</v>
      </c>
      <c r="F494">
        <v>4</v>
      </c>
      <c r="G494" s="4">
        <v>65000</v>
      </c>
      <c r="H494" s="4" t="str">
        <f>IF(Table2[[#This Row],[Price]]=0,"No","Yes")</f>
        <v>Yes</v>
      </c>
      <c r="I494" t="s">
        <v>42</v>
      </c>
      <c r="J494" t="s">
        <v>46</v>
      </c>
      <c r="K494">
        <v>260000</v>
      </c>
      <c r="L494">
        <v>1</v>
      </c>
      <c r="M494">
        <v>2023</v>
      </c>
    </row>
    <row r="495" spans="1:13" x14ac:dyDescent="0.35">
      <c r="A495">
        <v>100494</v>
      </c>
      <c r="B495" s="1">
        <v>44947.541666666657</v>
      </c>
      <c r="C495" t="s">
        <v>12</v>
      </c>
      <c r="D495" t="s">
        <v>33</v>
      </c>
      <c r="E495" t="s">
        <v>39</v>
      </c>
      <c r="F495">
        <v>4</v>
      </c>
      <c r="G495" s="4">
        <v>22000</v>
      </c>
      <c r="H495" s="4" t="str">
        <f>IF(Table2[[#This Row],[Price]]=0,"No","Yes")</f>
        <v>Yes</v>
      </c>
      <c r="I495" t="s">
        <v>43</v>
      </c>
      <c r="J495" t="s">
        <v>49</v>
      </c>
      <c r="K495">
        <v>88000</v>
      </c>
      <c r="L495">
        <v>1</v>
      </c>
      <c r="M495">
        <v>2023</v>
      </c>
    </row>
    <row r="496" spans="1:13" x14ac:dyDescent="0.35">
      <c r="A496">
        <v>100495</v>
      </c>
      <c r="B496" s="1">
        <v>44947.583333333343</v>
      </c>
      <c r="C496" t="s">
        <v>30</v>
      </c>
      <c r="D496" t="s">
        <v>38</v>
      </c>
      <c r="E496" t="s">
        <v>39</v>
      </c>
      <c r="F496">
        <v>4</v>
      </c>
      <c r="G496" s="4">
        <v>5000</v>
      </c>
      <c r="H496" s="4" t="str">
        <f>IF(Table2[[#This Row],[Price]]=0,"No","Yes")</f>
        <v>Yes</v>
      </c>
      <c r="I496" t="s">
        <v>43</v>
      </c>
      <c r="J496" t="s">
        <v>46</v>
      </c>
      <c r="K496">
        <v>20000</v>
      </c>
      <c r="L496">
        <v>1</v>
      </c>
      <c r="M496">
        <v>2023</v>
      </c>
    </row>
    <row r="497" spans="1:13" x14ac:dyDescent="0.35">
      <c r="A497">
        <v>100496</v>
      </c>
      <c r="B497" s="1">
        <v>44947.625</v>
      </c>
      <c r="C497" t="s">
        <v>27</v>
      </c>
      <c r="D497" t="s">
        <v>38</v>
      </c>
      <c r="E497" t="s">
        <v>39</v>
      </c>
      <c r="F497">
        <v>3</v>
      </c>
      <c r="G497" s="4">
        <v>35000</v>
      </c>
      <c r="H497" s="4" t="str">
        <f>IF(Table2[[#This Row],[Price]]=0,"No","Yes")</f>
        <v>Yes</v>
      </c>
      <c r="I497" t="s">
        <v>44</v>
      </c>
      <c r="J497" t="s">
        <v>48</v>
      </c>
      <c r="K497">
        <v>105000</v>
      </c>
      <c r="L497">
        <v>1</v>
      </c>
      <c r="M497">
        <v>2023</v>
      </c>
    </row>
    <row r="498" spans="1:13" x14ac:dyDescent="0.35">
      <c r="A498">
        <v>100497</v>
      </c>
      <c r="B498" s="1">
        <v>44947.666666666657</v>
      </c>
      <c r="C498" t="s">
        <v>19</v>
      </c>
      <c r="D498" t="s">
        <v>34</v>
      </c>
      <c r="E498" t="s">
        <v>39</v>
      </c>
      <c r="F498">
        <v>5</v>
      </c>
      <c r="G498" s="4">
        <v>55000</v>
      </c>
      <c r="H498" s="4" t="str">
        <f>IF(Table2[[#This Row],[Price]]=0,"No","Yes")</f>
        <v>Yes</v>
      </c>
      <c r="I498" t="s">
        <v>41</v>
      </c>
      <c r="J498" t="s">
        <v>49</v>
      </c>
      <c r="K498">
        <v>275000</v>
      </c>
      <c r="L498">
        <v>1</v>
      </c>
      <c r="M498">
        <v>2023</v>
      </c>
    </row>
    <row r="499" spans="1:13" x14ac:dyDescent="0.35">
      <c r="A499">
        <v>100498</v>
      </c>
      <c r="B499" s="1">
        <v>44947.708333333343</v>
      </c>
      <c r="C499" t="s">
        <v>15</v>
      </c>
      <c r="D499" t="s">
        <v>38</v>
      </c>
      <c r="E499" t="s">
        <v>39</v>
      </c>
      <c r="F499">
        <v>5</v>
      </c>
      <c r="G499" s="4">
        <v>55000</v>
      </c>
      <c r="H499" s="4" t="str">
        <f>IF(Table2[[#This Row],[Price]]=0,"No","Yes")</f>
        <v>Yes</v>
      </c>
      <c r="I499" t="s">
        <v>41</v>
      </c>
      <c r="J499" t="s">
        <v>50</v>
      </c>
      <c r="K499">
        <v>275000</v>
      </c>
      <c r="L499">
        <v>1</v>
      </c>
      <c r="M499">
        <v>2023</v>
      </c>
    </row>
    <row r="500" spans="1:13" x14ac:dyDescent="0.35">
      <c r="A500">
        <v>100499</v>
      </c>
      <c r="B500" s="1">
        <v>44947.75</v>
      </c>
      <c r="C500" t="s">
        <v>15</v>
      </c>
      <c r="D500" t="s">
        <v>32</v>
      </c>
      <c r="E500" t="s">
        <v>39</v>
      </c>
      <c r="F500">
        <v>4</v>
      </c>
      <c r="G500" s="4">
        <v>2500</v>
      </c>
      <c r="H500" s="4" t="str">
        <f>IF(Table2[[#This Row],[Price]]=0,"No","Yes")</f>
        <v>Yes</v>
      </c>
      <c r="I500" t="s">
        <v>44</v>
      </c>
      <c r="J500" t="s">
        <v>51</v>
      </c>
      <c r="K500">
        <v>10000</v>
      </c>
      <c r="L500">
        <v>1</v>
      </c>
      <c r="M500">
        <v>2023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22AC-E5F3-44BA-A8BD-F4DAA2EFC86D}">
  <dimension ref="A1"/>
  <sheetViews>
    <sheetView tabSelected="1" zoomScale="80" zoomScaleNormal="80" workbookViewId="0">
      <selection activeCell="X18" sqref="X18"/>
    </sheetView>
  </sheetViews>
  <sheetFormatPr defaultRowHeight="14.5" x14ac:dyDescent="0.35"/>
  <cols>
    <col min="1" max="1" width="2" customWidth="1"/>
    <col min="24" max="24" width="14"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46DA-CED5-4C88-A057-C3EC4B13409E}">
  <dimension ref="A3:N24"/>
  <sheetViews>
    <sheetView workbookViewId="0">
      <selection activeCell="V17" sqref="V17"/>
    </sheetView>
  </sheetViews>
  <sheetFormatPr defaultRowHeight="14.5" x14ac:dyDescent="0.35"/>
  <cols>
    <col min="1" max="1" width="12.36328125" bestFit="1" customWidth="1"/>
    <col min="2" max="2" width="11.90625" bestFit="1" customWidth="1"/>
    <col min="4" max="4" width="12.36328125" bestFit="1" customWidth="1"/>
    <col min="5" max="5" width="11.90625" bestFit="1" customWidth="1"/>
    <col min="7" max="7" width="19.54296875" bestFit="1" customWidth="1"/>
    <col min="8" max="8" width="11.90625" bestFit="1" customWidth="1"/>
    <col min="10" max="10" width="12.36328125" bestFit="1" customWidth="1"/>
    <col min="11" max="11" width="11.90625" bestFit="1" customWidth="1"/>
    <col min="13" max="13" width="12.36328125" bestFit="1" customWidth="1"/>
    <col min="14" max="14" width="11.90625" bestFit="1" customWidth="1"/>
  </cols>
  <sheetData>
    <row r="3" spans="1:14" x14ac:dyDescent="0.35">
      <c r="A3" s="5" t="s">
        <v>53</v>
      </c>
      <c r="B3" t="s">
        <v>55</v>
      </c>
      <c r="D3" s="5" t="s">
        <v>53</v>
      </c>
      <c r="E3" t="s">
        <v>55</v>
      </c>
      <c r="G3" s="5" t="s">
        <v>53</v>
      </c>
      <c r="H3" t="s">
        <v>55</v>
      </c>
      <c r="J3" s="5" t="s">
        <v>53</v>
      </c>
      <c r="K3" t="s">
        <v>55</v>
      </c>
      <c r="M3" s="5" t="s">
        <v>53</v>
      </c>
      <c r="N3" t="s">
        <v>55</v>
      </c>
    </row>
    <row r="4" spans="1:14" x14ac:dyDescent="0.35">
      <c r="A4" s="6" t="s">
        <v>47</v>
      </c>
      <c r="B4" s="7">
        <v>1050000</v>
      </c>
      <c r="D4" s="6" t="s">
        <v>34</v>
      </c>
      <c r="E4" s="7">
        <v>1339000</v>
      </c>
      <c r="G4" s="6" t="s">
        <v>40</v>
      </c>
      <c r="H4" s="7">
        <v>3538500</v>
      </c>
      <c r="J4" s="6" t="s">
        <v>31</v>
      </c>
      <c r="K4" s="7">
        <v>528000</v>
      </c>
      <c r="M4" s="6">
        <v>1</v>
      </c>
      <c r="N4" s="7">
        <v>12644500</v>
      </c>
    </row>
    <row r="5" spans="1:14" x14ac:dyDescent="0.35">
      <c r="A5" s="6" t="s">
        <v>49</v>
      </c>
      <c r="B5" s="7">
        <v>1879000</v>
      </c>
      <c r="D5" s="6" t="s">
        <v>33</v>
      </c>
      <c r="E5" s="7">
        <v>1689000</v>
      </c>
      <c r="G5" s="6" t="s">
        <v>39</v>
      </c>
      <c r="H5" s="7">
        <v>9106000</v>
      </c>
      <c r="J5" s="6" t="s">
        <v>20</v>
      </c>
      <c r="K5" s="7">
        <v>610000</v>
      </c>
      <c r="M5" s="6" t="s">
        <v>54</v>
      </c>
      <c r="N5" s="7">
        <v>12644500</v>
      </c>
    </row>
    <row r="6" spans="1:14" x14ac:dyDescent="0.35">
      <c r="A6" s="6" t="s">
        <v>51</v>
      </c>
      <c r="B6" s="7">
        <v>1534000</v>
      </c>
      <c r="D6" s="6" t="s">
        <v>38</v>
      </c>
      <c r="E6" s="7">
        <v>1620000</v>
      </c>
      <c r="G6" s="6" t="s">
        <v>54</v>
      </c>
      <c r="H6" s="7">
        <v>12644500</v>
      </c>
      <c r="J6" s="6" t="s">
        <v>12</v>
      </c>
      <c r="K6" s="7">
        <v>569500</v>
      </c>
    </row>
    <row r="7" spans="1:14" x14ac:dyDescent="0.35">
      <c r="A7" s="6" t="s">
        <v>45</v>
      </c>
      <c r="B7" s="7">
        <v>1945500</v>
      </c>
      <c r="D7" s="6" t="s">
        <v>32</v>
      </c>
      <c r="E7" s="7">
        <v>1763000</v>
      </c>
      <c r="J7" s="6" t="s">
        <v>29</v>
      </c>
      <c r="K7" s="7">
        <v>506000</v>
      </c>
    </row>
    <row r="8" spans="1:14" x14ac:dyDescent="0.35">
      <c r="A8" s="6" t="s">
        <v>48</v>
      </c>
      <c r="B8" s="7">
        <v>1693500</v>
      </c>
      <c r="D8" s="6" t="s">
        <v>37</v>
      </c>
      <c r="E8" s="7">
        <v>1927000</v>
      </c>
      <c r="J8" s="6" t="s">
        <v>16</v>
      </c>
      <c r="K8" s="7">
        <v>559000</v>
      </c>
    </row>
    <row r="9" spans="1:14" x14ac:dyDescent="0.35">
      <c r="A9" s="6" t="s">
        <v>50</v>
      </c>
      <c r="B9" s="7">
        <v>2121500</v>
      </c>
      <c r="D9" s="6" t="s">
        <v>35</v>
      </c>
      <c r="E9" s="7">
        <v>1878500</v>
      </c>
      <c r="J9" s="6" t="s">
        <v>27</v>
      </c>
      <c r="K9" s="7">
        <v>861000</v>
      </c>
    </row>
    <row r="10" spans="1:14" x14ac:dyDescent="0.35">
      <c r="A10" s="6" t="s">
        <v>46</v>
      </c>
      <c r="B10" s="7">
        <v>2421000</v>
      </c>
      <c r="D10" s="6" t="s">
        <v>36</v>
      </c>
      <c r="E10" s="7">
        <v>2428000</v>
      </c>
      <c r="J10" s="6" t="s">
        <v>26</v>
      </c>
      <c r="K10" s="7">
        <v>732500</v>
      </c>
    </row>
    <row r="11" spans="1:14" x14ac:dyDescent="0.35">
      <c r="A11" s="6" t="s">
        <v>54</v>
      </c>
      <c r="B11" s="7">
        <v>12644500</v>
      </c>
      <c r="D11" s="6" t="s">
        <v>54</v>
      </c>
      <c r="E11" s="7">
        <v>12644500</v>
      </c>
      <c r="J11" s="6" t="s">
        <v>17</v>
      </c>
      <c r="K11" s="7">
        <v>650000</v>
      </c>
    </row>
    <row r="12" spans="1:14" x14ac:dyDescent="0.35">
      <c r="J12" s="6" t="s">
        <v>22</v>
      </c>
      <c r="K12" s="7">
        <v>360000</v>
      </c>
      <c r="M12" t="s">
        <v>56</v>
      </c>
    </row>
    <row r="13" spans="1:14" x14ac:dyDescent="0.35">
      <c r="J13" s="6" t="s">
        <v>30</v>
      </c>
      <c r="K13" s="7">
        <v>383500</v>
      </c>
    </row>
    <row r="14" spans="1:14" x14ac:dyDescent="0.35">
      <c r="J14" s="6" t="s">
        <v>24</v>
      </c>
      <c r="K14" s="7">
        <v>820000</v>
      </c>
    </row>
    <row r="15" spans="1:14" x14ac:dyDescent="0.35">
      <c r="J15" s="6" t="s">
        <v>25</v>
      </c>
      <c r="K15" s="7">
        <v>528500</v>
      </c>
    </row>
    <row r="16" spans="1:14" x14ac:dyDescent="0.35">
      <c r="J16" s="6" t="s">
        <v>18</v>
      </c>
      <c r="K16" s="7">
        <v>794000</v>
      </c>
    </row>
    <row r="17" spans="10:11" x14ac:dyDescent="0.35">
      <c r="J17" s="6" t="s">
        <v>15</v>
      </c>
      <c r="K17" s="7">
        <v>527000</v>
      </c>
    </row>
    <row r="18" spans="10:11" x14ac:dyDescent="0.35">
      <c r="J18" s="6" t="s">
        <v>14</v>
      </c>
      <c r="K18" s="7">
        <v>530000</v>
      </c>
    </row>
    <row r="19" spans="10:11" x14ac:dyDescent="0.35">
      <c r="J19" s="6" t="s">
        <v>23</v>
      </c>
      <c r="K19" s="7">
        <v>760500</v>
      </c>
    </row>
    <row r="20" spans="10:11" x14ac:dyDescent="0.35">
      <c r="J20" s="6" t="s">
        <v>21</v>
      </c>
      <c r="K20" s="7">
        <v>622500</v>
      </c>
    </row>
    <row r="21" spans="10:11" x14ac:dyDescent="0.35">
      <c r="J21" s="6" t="s">
        <v>19</v>
      </c>
      <c r="K21" s="7">
        <v>895500</v>
      </c>
    </row>
    <row r="22" spans="10:11" x14ac:dyDescent="0.35">
      <c r="J22" s="6" t="s">
        <v>13</v>
      </c>
      <c r="K22" s="7">
        <v>835000</v>
      </c>
    </row>
    <row r="23" spans="10:11" x14ac:dyDescent="0.35">
      <c r="J23" s="6" t="s">
        <v>28</v>
      </c>
      <c r="K23" s="7">
        <v>572000</v>
      </c>
    </row>
    <row r="24" spans="10:11" x14ac:dyDescent="0.35">
      <c r="J24" s="6" t="s">
        <v>54</v>
      </c>
      <c r="K24" s="7">
        <v>12644500</v>
      </c>
    </row>
  </sheetData>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MOBILE DATA</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Mypc</cp:lastModifiedBy>
  <dcterms:created xsi:type="dcterms:W3CDTF">2026-01-23T04:26:12Z</dcterms:created>
  <dcterms:modified xsi:type="dcterms:W3CDTF">2026-02-28T15:56:56Z</dcterms:modified>
</cp:coreProperties>
</file>